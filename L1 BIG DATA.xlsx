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deducation-my.sharepoint.com/personal/oriahi_ted-university_com/Documents/Bureau/Ons-ted 25-26/Rayhane/"/>
    </mc:Choice>
  </mc:AlternateContent>
  <xr:revisionPtr revIDLastSave="1" documentId="8_{7AC689EF-4CD7-4B67-8B5D-972FC9032D8F}" xr6:coauthVersionLast="47" xr6:coauthVersionMax="47" xr10:uidLastSave="{435A3ACB-FE81-46F8-9459-799C2642B5E6}"/>
  <bookViews>
    <workbookView xWindow="-108" yWindow="-108" windowWidth="23256" windowHeight="12456" xr2:uid="{F5F682B8-3039-401E-AF6E-C6851D812AF0}"/>
  </bookViews>
  <sheets>
    <sheet name="S1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" i="1" l="1"/>
  <c r="M15" i="1"/>
  <c r="W15" i="1"/>
  <c r="AG15" i="1"/>
  <c r="AQ15" i="1"/>
  <c r="C16" i="1"/>
  <c r="M16" i="1"/>
  <c r="W16" i="1"/>
  <c r="AG16" i="1"/>
  <c r="AQ16" i="1"/>
  <c r="F18" i="1"/>
  <c r="L18" i="1" s="1"/>
  <c r="J18" i="1"/>
  <c r="K18" i="1"/>
  <c r="F19" i="1"/>
  <c r="L19" i="1" s="1"/>
  <c r="J19" i="1"/>
  <c r="K19" i="1"/>
  <c r="F20" i="1"/>
  <c r="J20" i="1"/>
  <c r="K20" i="1"/>
  <c r="L20" i="1"/>
  <c r="F21" i="1"/>
  <c r="L21" i="1" s="1"/>
  <c r="J21" i="1"/>
  <c r="K21" i="1"/>
  <c r="F22" i="1"/>
  <c r="L22" i="1" s="1"/>
  <c r="J22" i="1"/>
  <c r="K22" i="1"/>
  <c r="F23" i="1"/>
  <c r="J23" i="1"/>
  <c r="K23" i="1"/>
  <c r="L23" i="1"/>
  <c r="F24" i="1"/>
  <c r="L24" i="1" s="1"/>
  <c r="J24" i="1"/>
  <c r="K24" i="1"/>
  <c r="F25" i="1"/>
  <c r="L25" i="1" s="1"/>
  <c r="J25" i="1"/>
  <c r="K25" i="1"/>
  <c r="F26" i="1"/>
  <c r="J26" i="1"/>
  <c r="K26" i="1"/>
  <c r="L26" i="1"/>
  <c r="A27" i="1"/>
  <c r="F27" i="1"/>
  <c r="J27" i="1"/>
  <c r="K27" i="1"/>
  <c r="L27" i="1"/>
  <c r="A28" i="1"/>
  <c r="A29" i="1" s="1"/>
  <c r="A30" i="1" s="1"/>
  <c r="A31" i="1" s="1"/>
  <c r="F28" i="1"/>
  <c r="J28" i="1"/>
  <c r="K28" i="1"/>
  <c r="L28" i="1"/>
  <c r="F29" i="1"/>
  <c r="J29" i="1"/>
  <c r="K29" i="1"/>
  <c r="L29" i="1" s="1"/>
  <c r="F30" i="1"/>
  <c r="L30" i="1" s="1"/>
  <c r="J30" i="1"/>
  <c r="K30" i="1"/>
  <c r="F31" i="1"/>
  <c r="J31" i="1"/>
  <c r="K31" i="1"/>
  <c r="L31" i="1"/>
</calcChain>
</file>

<file path=xl/sharedStrings.xml><?xml version="1.0" encoding="utf-8"?>
<sst xmlns="http://schemas.openxmlformats.org/spreadsheetml/2006/main" count="218" uniqueCount="86">
  <si>
    <t>Domaine :  Sciences et Technologies</t>
  </si>
  <si>
    <t>Niveau : L1</t>
  </si>
  <si>
    <t>Filière : Informatique</t>
  </si>
  <si>
    <t>Semestre : 1</t>
  </si>
  <si>
    <t>Spécialité :</t>
  </si>
  <si>
    <t xml:space="preserve">Big Data et Analyse de Données </t>
  </si>
  <si>
    <t xml:space="preserve"> Session Principale</t>
  </si>
  <si>
    <t>Semestre 1</t>
  </si>
  <si>
    <t>Mathématique (UEF110)</t>
  </si>
  <si>
    <t>Algorithmique &amp; Programmation 1 (UEF120 )</t>
  </si>
  <si>
    <t>Système d'exploitation &amp; Architecture (UEF130)</t>
  </si>
  <si>
    <t>Logique et Multimédia (UEF140)</t>
  </si>
  <si>
    <t>Culture et Langues II (UET110)</t>
  </si>
  <si>
    <t xml:space="preserve">Moyenne Semestre 1  </t>
  </si>
  <si>
    <t xml:space="preserve">Total des Crédits Capitalisés </t>
  </si>
  <si>
    <t>Algèbre 1
(ECUEF111)</t>
  </si>
  <si>
    <t>Analyse 1
(ECUEF112)</t>
  </si>
  <si>
    <t>Moyenne UE</t>
  </si>
  <si>
    <t>Crédits Capitalisés</t>
  </si>
  <si>
    <t>Algorithmique et structure de données(ECUEF121)</t>
  </si>
  <si>
    <t>Atelier de programmation 1 (ECUEF122)</t>
  </si>
  <si>
    <t>Système d'exploitation 1 (ECUEF131)</t>
  </si>
  <si>
    <t>Systèmes Logiques &amp; Architecture des ordinateurs (ECUEF132)</t>
  </si>
  <si>
    <t>Logique formelle (ECUEF141)</t>
  </si>
  <si>
    <t>Technologies Multimédias (ECUEF142)</t>
  </si>
  <si>
    <t>Anglais 1 (ECUET111)</t>
  </si>
  <si>
    <t>Techniques de communication 1 (ECUET112)</t>
  </si>
  <si>
    <t>Coeﬃcient par ECUE</t>
  </si>
  <si>
    <t>Crédit par ECUE</t>
  </si>
  <si>
    <t>Coeﬃcent par UE</t>
  </si>
  <si>
    <t>Crédit par UE</t>
  </si>
  <si>
    <t>N</t>
  </si>
  <si>
    <t>Nom &amp; Prénom</t>
  </si>
  <si>
    <t>CC</t>
  </si>
  <si>
    <t>EX</t>
  </si>
  <si>
    <t>MOY</t>
  </si>
  <si>
    <t>CR</t>
  </si>
  <si>
    <t>Abdessalem  Fady</t>
  </si>
  <si>
    <t>Ben Abdallah  Mohammed Beyrem</t>
  </si>
  <si>
    <t xml:space="preserve">Ben Fadhel Youssef </t>
  </si>
  <si>
    <t>Ben kahla  Mohamed Nour</t>
  </si>
  <si>
    <t xml:space="preserve">Denden Mohamed Amine </t>
  </si>
  <si>
    <t>Dhifaoui Insaf</t>
  </si>
  <si>
    <t>Djigo  Aminata</t>
  </si>
  <si>
    <t xml:space="preserve">Hached Haithem </t>
  </si>
  <si>
    <t>Jaffali  Bassem</t>
  </si>
  <si>
    <t>Jebbari  Zahreddine</t>
  </si>
  <si>
    <t xml:space="preserve">Maazaoui Youssef </t>
  </si>
  <si>
    <t>Mimouni  Hamza</t>
  </si>
  <si>
    <t>Mnasser  Khaoula</t>
  </si>
  <si>
    <t>Toumi Mohamed Salah</t>
  </si>
  <si>
    <t>Page 1 sur 5</t>
  </si>
  <si>
    <r>
      <rPr>
        <b/>
        <sz val="7"/>
        <rFont val="Trebuchet MS"/>
        <family val="2"/>
      </rPr>
      <t>Coeﬃcient par ECUE</t>
    </r>
  </si>
  <si>
    <r>
      <rPr>
        <b/>
        <sz val="7"/>
        <rFont val="Trebuchet MS"/>
        <family val="2"/>
      </rPr>
      <t>Crédit par ECUE</t>
    </r>
  </si>
  <si>
    <r>
      <rPr>
        <b/>
        <sz val="7"/>
        <rFont val="Trebuchet MS"/>
        <family val="2"/>
      </rPr>
      <t>Coeﬃcent par UE</t>
    </r>
  </si>
  <si>
    <r>
      <rPr>
        <b/>
        <sz val="7"/>
        <rFont val="Trebuchet MS"/>
        <family val="2"/>
      </rPr>
      <t>Crédit par UE</t>
    </r>
  </si>
  <si>
    <t>Semestre : 2</t>
  </si>
  <si>
    <t>Semestre 2</t>
  </si>
  <si>
    <t xml:space="preserve">  Mathématiques 2 (UEF210)</t>
  </si>
  <si>
    <t> </t>
  </si>
  <si>
    <t>Algorithmique &amp; Programmation 2 (UEF220 )</t>
  </si>
  <si>
    <t>Matériels &amp; Réseaux (UEF230)</t>
  </si>
  <si>
    <t>Bases de données (ECUEF241)</t>
  </si>
  <si>
    <t>Langues et Culture Numérique (UET210)</t>
  </si>
  <si>
    <t xml:space="preserve">
Algèbre 2 (ECUEF211)</t>
  </si>
  <si>
    <t>Analyse 2 (ECUEF212)</t>
  </si>
  <si>
    <t>Algorithmique, Structure des données et Complexité (ECUEF221)</t>
  </si>
  <si>
    <t>Atelier de programmation 2 (ECUEF222)</t>
  </si>
  <si>
    <t>Programmation Python (ECUEF223)</t>
  </si>
  <si>
    <t>Système d'exploitation 2 (ECUEF231)</t>
  </si>
  <si>
    <t>Fondements des réseaux  (ECUEF232)</t>
  </si>
  <si>
    <t>Fondements des Bases de données (ECUEF241)</t>
  </si>
  <si>
    <t>Anglais 2 (ECUET211)</t>
  </si>
  <si>
    <t>Techniques de communication 2 (ECUET212)</t>
  </si>
  <si>
    <t>Culture et Compétences Numériques (ECUET213)</t>
  </si>
  <si>
    <t>Moyenne Semestre 2</t>
  </si>
  <si>
    <t>Total des Crédits Capitalisés</t>
  </si>
  <si>
    <t>Page 3 sur 5</t>
  </si>
  <si>
    <t>Page 4 sur 5</t>
  </si>
  <si>
    <t>Page: 4 of 6</t>
  </si>
  <si>
    <t>Page: 6 of 6</t>
  </si>
  <si>
    <t>16,5</t>
  </si>
  <si>
    <t>15,5</t>
  </si>
  <si>
    <t>8,5</t>
  </si>
  <si>
    <t>6,25</t>
  </si>
  <si>
    <t>1,75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</si>
</sst>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;###0.0"/>
  </numFmts>
  <fonts count="30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&quot;Times New Roman&quot;"/>
      <charset val="134"/>
    </font>
    <font>
      <sz val="12"/>
      <color rgb="FF000000"/>
      <name val="Arial"/>
      <family val="2"/>
    </font>
    <font>
      <b/>
      <sz val="20"/>
      <color rgb="FFFF0000"/>
      <name val="Trebuchet MS"/>
      <family val="2"/>
    </font>
    <font>
      <b/>
      <sz val="20"/>
      <name val="Trebuchet MS"/>
      <family val="2"/>
    </font>
    <font>
      <b/>
      <sz val="8"/>
      <color rgb="FF000000"/>
      <name val="&quot;Times New Roman&quot;"/>
      <charset val="134"/>
    </font>
    <font>
      <b/>
      <sz val="9"/>
      <name val="Trebuchet MS"/>
      <family val="2"/>
    </font>
    <font>
      <b/>
      <sz val="7"/>
      <name val="Trebuchet MS"/>
      <family val="2"/>
    </font>
    <font>
      <b/>
      <sz val="12"/>
      <name val="Trebuchet MS"/>
      <family val="2"/>
    </font>
    <font>
      <b/>
      <sz val="11"/>
      <name val="Trebuchet MS"/>
      <family val="2"/>
    </font>
    <font>
      <b/>
      <sz val="10"/>
      <name val="Trebuchet MS"/>
      <family val="2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Calibri"/>
      <family val="2"/>
      <scheme val="minor"/>
    </font>
    <font>
      <sz val="12"/>
      <color rgb="FF000000"/>
      <name val="Arial Narrow"/>
      <family val="2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14"/>
      <color rgb="FF000000"/>
      <name val="Arial"/>
      <family val="2"/>
    </font>
    <font>
      <b/>
      <sz val="16"/>
      <name val="Trebuchet MS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Times New Roman"/>
      <family val="1"/>
    </font>
    <font>
      <b/>
      <sz val="12"/>
      <color rgb="FF000000"/>
      <name val="Arial"/>
      <family val="2"/>
    </font>
    <font>
      <b/>
      <sz val="11"/>
      <name val="Arial"/>
      <family val="2"/>
    </font>
    <font>
      <b/>
      <sz val="10"/>
      <color rgb="FF000000"/>
      <name val="Arial"/>
      <family val="2"/>
    </font>
    <font>
      <b/>
      <sz val="16"/>
      <color rgb="FF000000"/>
      <name val="Times New Roman"/>
      <family val="1"/>
    </font>
    <font>
      <b/>
      <sz val="14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2D2D2"/>
        <bgColor rgb="FF000000"/>
      </patternFill>
    </fill>
    <fill>
      <patternFill patternType="solid">
        <fgColor rgb="FFFEF2CD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000000"/>
      </patternFill>
    </fill>
    <fill>
      <patternFill patternType="solid">
        <fgColor rgb="FFFBDAD7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6" fillId="0" borderId="0"/>
  </cellStyleXfs>
  <cellXfs count="17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0" fontId="3" fillId="0" borderId="2" xfId="0" applyFont="1" applyBorder="1"/>
    <xf numFmtId="0" fontId="2" fillId="0" borderId="2" xfId="0" applyFont="1" applyBorder="1"/>
    <xf numFmtId="0" fontId="4" fillId="2" borderId="2" xfId="0" applyFont="1" applyFill="1" applyBorder="1" applyAlignment="1">
      <alignment horizontal="right"/>
    </xf>
    <xf numFmtId="0" fontId="3" fillId="0" borderId="3" xfId="0" applyFont="1" applyBorder="1"/>
    <xf numFmtId="0" fontId="2" fillId="2" borderId="0" xfId="0" applyFont="1" applyFill="1"/>
    <xf numFmtId="0" fontId="2" fillId="0" borderId="3" xfId="0" applyFont="1" applyBorder="1"/>
    <xf numFmtId="0" fontId="3" fillId="0" borderId="4" xfId="0" applyFont="1" applyBorder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3" fillId="0" borderId="5" xfId="0" applyFont="1" applyBorder="1"/>
    <xf numFmtId="0" fontId="2" fillId="0" borderId="5" xfId="0" applyFont="1" applyBorder="1"/>
    <xf numFmtId="0" fontId="4" fillId="2" borderId="4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/>
    </xf>
    <xf numFmtId="0" fontId="2" fillId="0" borderId="0" xfId="0" applyFont="1" applyAlignment="1">
      <alignment horizontal="left" vertical="top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textRotation="90" wrapText="1"/>
    </xf>
    <xf numFmtId="0" fontId="2" fillId="0" borderId="16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center" vertical="center" textRotation="90" wrapText="1"/>
    </xf>
    <xf numFmtId="0" fontId="12" fillId="4" borderId="19" xfId="0" applyFont="1" applyFill="1" applyBorder="1" applyAlignment="1">
      <alignment horizontal="center" vertical="center" textRotation="90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left" vertical="top" wrapText="1"/>
    </xf>
    <xf numFmtId="164" fontId="14" fillId="0" borderId="20" xfId="0" applyNumberFormat="1" applyFont="1" applyBorder="1" applyAlignment="1">
      <alignment horizontal="center" vertical="top" wrapText="1"/>
    </xf>
    <xf numFmtId="164" fontId="14" fillId="0" borderId="21" xfId="0" applyNumberFormat="1" applyFont="1" applyBorder="1" applyAlignment="1">
      <alignment horizontal="center" vertical="top" wrapText="1"/>
    </xf>
    <xf numFmtId="0" fontId="11" fillId="4" borderId="22" xfId="0" applyFont="1" applyFill="1" applyBorder="1" applyAlignment="1">
      <alignment horizontal="center" vertical="center" textRotation="90" wrapText="1"/>
    </xf>
    <xf numFmtId="0" fontId="12" fillId="4" borderId="22" xfId="0" applyFont="1" applyFill="1" applyBorder="1" applyAlignment="1">
      <alignment horizontal="center" vertical="center" textRotation="90" wrapText="1"/>
    </xf>
    <xf numFmtId="1" fontId="14" fillId="0" borderId="20" xfId="0" applyNumberFormat="1" applyFont="1" applyBorder="1" applyAlignment="1">
      <alignment horizontal="center" vertical="top" wrapText="1"/>
    </xf>
    <xf numFmtId="1" fontId="14" fillId="0" borderId="21" xfId="0" applyNumberFormat="1" applyFont="1" applyBorder="1" applyAlignment="1">
      <alignment horizontal="center" vertical="top" wrapText="1"/>
    </xf>
    <xf numFmtId="0" fontId="9" fillId="0" borderId="25" xfId="0" applyFont="1" applyBorder="1" applyAlignment="1">
      <alignment horizontal="left" vertical="top" wrapText="1"/>
    </xf>
    <xf numFmtId="0" fontId="15" fillId="3" borderId="26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 textRotation="90" wrapText="1"/>
    </xf>
    <xf numFmtId="0" fontId="12" fillId="4" borderId="27" xfId="0" applyFont="1" applyFill="1" applyBorder="1" applyAlignment="1">
      <alignment horizontal="center" vertical="center" textRotation="90" wrapText="1"/>
    </xf>
    <xf numFmtId="0" fontId="15" fillId="0" borderId="0" xfId="0" applyFont="1"/>
    <xf numFmtId="1" fontId="17" fillId="6" borderId="28" xfId="1" applyNumberFormat="1" applyFont="1" applyFill="1" applyBorder="1" applyAlignment="1">
      <alignment horizontal="center" vertical="center" wrapText="1"/>
    </xf>
    <xf numFmtId="0" fontId="18" fillId="6" borderId="29" xfId="1" applyFont="1" applyFill="1" applyBorder="1" applyAlignment="1">
      <alignment horizontal="left" vertical="center" wrapText="1"/>
    </xf>
    <xf numFmtId="2" fontId="19" fillId="0" borderId="14" xfId="0" applyNumberFormat="1" applyFont="1" applyBorder="1" applyAlignment="1">
      <alignment horizontal="center" vertical="center" wrapText="1"/>
    </xf>
    <xf numFmtId="1" fontId="19" fillId="0" borderId="14" xfId="0" applyNumberFormat="1" applyFont="1" applyBorder="1" applyAlignment="1">
      <alignment horizontal="center" vertical="center" wrapText="1"/>
    </xf>
    <xf numFmtId="2" fontId="19" fillId="3" borderId="14" xfId="0" applyNumberFormat="1" applyFont="1" applyFill="1" applyBorder="1" applyAlignment="1">
      <alignment horizontal="center" vertical="center" wrapText="1"/>
    </xf>
    <xf numFmtId="1" fontId="19" fillId="3" borderId="14" xfId="0" applyNumberFormat="1" applyFont="1" applyFill="1" applyBorder="1" applyAlignment="1">
      <alignment horizontal="center" vertical="center" wrapText="1"/>
    </xf>
    <xf numFmtId="1" fontId="19" fillId="7" borderId="14" xfId="0" applyNumberFormat="1" applyFont="1" applyFill="1" applyBorder="1" applyAlignment="1">
      <alignment horizontal="center" vertical="center" wrapText="1"/>
    </xf>
    <xf numFmtId="2" fontId="19" fillId="5" borderId="14" xfId="0" applyNumberFormat="1" applyFont="1" applyFill="1" applyBorder="1" applyAlignment="1">
      <alignment horizontal="center" vertical="center" wrapText="1"/>
    </xf>
    <xf numFmtId="1" fontId="19" fillId="5" borderId="14" xfId="0" applyNumberFormat="1" applyFont="1" applyFill="1" applyBorder="1" applyAlignment="1">
      <alignment horizontal="center" vertical="center" wrapText="1"/>
    </xf>
    <xf numFmtId="0" fontId="14" fillId="0" borderId="0" xfId="0" applyFont="1"/>
    <xf numFmtId="1" fontId="17" fillId="0" borderId="28" xfId="1" applyNumberFormat="1" applyFont="1" applyBorder="1" applyAlignment="1">
      <alignment horizontal="center" vertical="center" wrapText="1"/>
    </xf>
    <xf numFmtId="0" fontId="18" fillId="0" borderId="30" xfId="0" applyFont="1" applyBorder="1" applyAlignment="1">
      <alignment vertical="center" wrapText="1"/>
    </xf>
    <xf numFmtId="0" fontId="18" fillId="6" borderId="30" xfId="0" applyFont="1" applyFill="1" applyBorder="1" applyAlignment="1">
      <alignment vertical="center" wrapText="1"/>
    </xf>
    <xf numFmtId="0" fontId="18" fillId="6" borderId="31" xfId="0" applyFont="1" applyFill="1" applyBorder="1" applyAlignment="1">
      <alignment vertical="center" wrapText="1"/>
    </xf>
    <xf numFmtId="0" fontId="18" fillId="2" borderId="32" xfId="1" applyFont="1" applyFill="1" applyBorder="1" applyAlignment="1">
      <alignment vertical="center" wrapText="1"/>
    </xf>
    <xf numFmtId="0" fontId="18" fillId="6" borderId="32" xfId="1" applyFont="1" applyFill="1" applyBorder="1" applyAlignment="1">
      <alignment vertical="center" wrapText="1"/>
    </xf>
    <xf numFmtId="0" fontId="18" fillId="0" borderId="32" xfId="1" applyFont="1" applyBorder="1" applyAlignment="1">
      <alignment vertical="center" wrapText="1"/>
    </xf>
    <xf numFmtId="1" fontId="17" fillId="0" borderId="33" xfId="1" applyNumberFormat="1" applyFont="1" applyBorder="1" applyAlignment="1">
      <alignment horizontal="center" vertical="center" wrapText="1"/>
    </xf>
    <xf numFmtId="0" fontId="20" fillId="0" borderId="0" xfId="0" applyFont="1"/>
    <xf numFmtId="0" fontId="5" fillId="0" borderId="0" xfId="0" applyFont="1" applyAlignment="1">
      <alignment wrapText="1"/>
    </xf>
    <xf numFmtId="0" fontId="22" fillId="0" borderId="0" xfId="0" applyFont="1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5" fillId="0" borderId="16" xfId="0" applyFont="1" applyBorder="1" applyAlignment="1">
      <alignment wrapText="1"/>
    </xf>
    <xf numFmtId="0" fontId="12" fillId="0" borderId="1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2" fontId="11" fillId="4" borderId="37" xfId="0" applyNumberFormat="1" applyFont="1" applyFill="1" applyBorder="1" applyAlignment="1">
      <alignment horizontal="center" vertical="center" textRotation="90" wrapText="1"/>
    </xf>
    <xf numFmtId="0" fontId="11" fillId="4" borderId="38" xfId="0" applyFont="1" applyFill="1" applyBorder="1" applyAlignment="1">
      <alignment horizontal="center" vertical="center" textRotation="90" wrapText="1"/>
    </xf>
    <xf numFmtId="2" fontId="11" fillId="4" borderId="39" xfId="0" applyNumberFormat="1" applyFont="1" applyFill="1" applyBorder="1" applyAlignment="1">
      <alignment horizontal="center" vertical="center" textRotation="90" wrapText="1"/>
    </xf>
    <xf numFmtId="0" fontId="11" fillId="4" borderId="40" xfId="0" applyFont="1" applyFill="1" applyBorder="1" applyAlignment="1">
      <alignment horizontal="center" vertical="center" textRotation="90" wrapText="1"/>
    </xf>
    <xf numFmtId="2" fontId="11" fillId="4" borderId="14" xfId="0" applyNumberFormat="1" applyFont="1" applyFill="1" applyBorder="1" applyAlignment="1">
      <alignment horizontal="center" vertical="center" textRotation="90" wrapText="1"/>
    </xf>
    <xf numFmtId="0" fontId="11" fillId="4" borderId="14" xfId="0" applyFont="1" applyFill="1" applyBorder="1" applyAlignment="1">
      <alignment horizontal="center" vertical="center" textRotation="90" wrapText="1"/>
    </xf>
    <xf numFmtId="0" fontId="12" fillId="0" borderId="18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3" fillId="0" borderId="0" xfId="0" applyFont="1"/>
    <xf numFmtId="0" fontId="12" fillId="0" borderId="41" xfId="0" applyFont="1" applyBorder="1" applyAlignment="1">
      <alignment vertical="center" wrapText="1"/>
    </xf>
    <xf numFmtId="2" fontId="11" fillId="4" borderId="42" xfId="0" applyNumberFormat="1" applyFont="1" applyFill="1" applyBorder="1" applyAlignment="1">
      <alignment horizontal="center" vertical="center" textRotation="90" wrapText="1"/>
    </xf>
    <xf numFmtId="0" fontId="11" fillId="4" borderId="0" xfId="0" applyFont="1" applyFill="1" applyAlignment="1">
      <alignment horizontal="center" vertical="center" textRotation="90" wrapText="1"/>
    </xf>
    <xf numFmtId="2" fontId="11" fillId="4" borderId="43" xfId="0" applyNumberFormat="1" applyFont="1" applyFill="1" applyBorder="1" applyAlignment="1">
      <alignment horizontal="center" vertical="center" textRotation="90" wrapText="1"/>
    </xf>
    <xf numFmtId="0" fontId="11" fillId="4" borderId="44" xfId="0" applyFont="1" applyFill="1" applyBorder="1" applyAlignment="1">
      <alignment horizontal="center" vertical="center" textRotation="90" wrapText="1"/>
    </xf>
    <xf numFmtId="0" fontId="22" fillId="0" borderId="21" xfId="0" applyFont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1" fillId="4" borderId="46" xfId="0" applyFont="1" applyFill="1" applyBorder="1" applyAlignment="1">
      <alignment horizontal="center" vertical="center" textRotation="90" wrapText="1"/>
    </xf>
    <xf numFmtId="0" fontId="22" fillId="0" borderId="16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2" fontId="11" fillId="4" borderId="15" xfId="0" applyNumberFormat="1" applyFont="1" applyFill="1" applyBorder="1" applyAlignment="1">
      <alignment horizontal="center" vertical="center" textRotation="90" wrapText="1"/>
    </xf>
    <xf numFmtId="0" fontId="11" fillId="4" borderId="49" xfId="0" applyFont="1" applyFill="1" applyBorder="1" applyAlignment="1">
      <alignment horizontal="center" vertical="center" textRotation="90" wrapText="1"/>
    </xf>
    <xf numFmtId="2" fontId="11" fillId="4" borderId="51" xfId="0" applyNumberFormat="1" applyFont="1" applyFill="1" applyBorder="1" applyAlignment="1">
      <alignment horizontal="center" vertical="center" textRotation="90" wrapText="1"/>
    </xf>
    <xf numFmtId="0" fontId="11" fillId="4" borderId="52" xfId="0" applyFont="1" applyFill="1" applyBorder="1" applyAlignment="1">
      <alignment horizontal="center" vertical="center" textRotation="90" wrapText="1"/>
    </xf>
    <xf numFmtId="2" fontId="24" fillId="0" borderId="54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9" fillId="4" borderId="55" xfId="0" applyFont="1" applyFill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12" fillId="5" borderId="57" xfId="0" applyFont="1" applyFill="1" applyBorder="1" applyAlignment="1">
      <alignment horizontal="center" vertical="center" textRotation="90" wrapText="1"/>
    </xf>
    <xf numFmtId="0" fontId="12" fillId="5" borderId="42" xfId="0" applyFont="1" applyFill="1" applyBorder="1" applyAlignment="1">
      <alignment horizontal="center" vertical="center" textRotation="90" wrapText="1"/>
    </xf>
    <xf numFmtId="0" fontId="11" fillId="5" borderId="58" xfId="0" applyFont="1" applyFill="1" applyBorder="1" applyAlignment="1">
      <alignment horizontal="center" vertical="center" textRotation="90" wrapText="1"/>
    </xf>
    <xf numFmtId="0" fontId="11" fillId="5" borderId="59" xfId="0" applyFont="1" applyFill="1" applyBorder="1" applyAlignment="1">
      <alignment horizontal="center" vertical="center" textRotation="90" wrapText="1"/>
    </xf>
    <xf numFmtId="0" fontId="11" fillId="5" borderId="54" xfId="0" applyFont="1" applyFill="1" applyBorder="1" applyAlignment="1">
      <alignment horizontal="center" vertical="center" textRotation="90" wrapText="1"/>
    </xf>
    <xf numFmtId="0" fontId="9" fillId="0" borderId="60" xfId="0" applyFont="1" applyBorder="1" applyAlignment="1">
      <alignment horizontal="center" vertical="center" wrapText="1"/>
    </xf>
    <xf numFmtId="0" fontId="9" fillId="0" borderId="61" xfId="0" applyFont="1" applyBorder="1" applyAlignment="1">
      <alignment horizontal="center" vertical="center" wrapText="1"/>
    </xf>
    <xf numFmtId="0" fontId="9" fillId="0" borderId="62" xfId="0" applyFont="1" applyBorder="1" applyAlignment="1">
      <alignment horizontal="center" vertical="center" wrapText="1"/>
    </xf>
    <xf numFmtId="1" fontId="14" fillId="0" borderId="63" xfId="0" applyNumberFormat="1" applyFont="1" applyBorder="1" applyAlignment="1">
      <alignment horizontal="center" vertical="top" wrapText="1"/>
    </xf>
    <xf numFmtId="0" fontId="13" fillId="0" borderId="56" xfId="0" applyFont="1" applyBorder="1" applyAlignment="1">
      <alignment horizontal="center" vertical="center" wrapText="1"/>
    </xf>
    <xf numFmtId="164" fontId="14" fillId="0" borderId="63" xfId="0" applyNumberFormat="1" applyFont="1" applyBorder="1" applyAlignment="1">
      <alignment horizontal="center" vertical="top" wrapText="1"/>
    </xf>
    <xf numFmtId="2" fontId="2" fillId="0" borderId="0" xfId="0" applyNumberFormat="1" applyFont="1"/>
    <xf numFmtId="0" fontId="25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2" fontId="2" fillId="0" borderId="2" xfId="0" applyNumberFormat="1" applyFont="1" applyBorder="1"/>
    <xf numFmtId="0" fontId="21" fillId="3" borderId="34" xfId="0" applyFont="1" applyFill="1" applyBorder="1" applyAlignment="1">
      <alignment horizontal="center" vertical="center" wrapText="1"/>
    </xf>
    <xf numFmtId="0" fontId="21" fillId="3" borderId="35" xfId="0" applyFont="1" applyFill="1" applyBorder="1" applyAlignment="1">
      <alignment horizontal="center" vertical="center" wrapText="1"/>
    </xf>
    <xf numFmtId="2" fontId="11" fillId="8" borderId="25" xfId="0" applyNumberFormat="1" applyFont="1" applyFill="1" applyBorder="1" applyAlignment="1">
      <alignment horizontal="center" vertical="center" textRotation="90" wrapText="1"/>
    </xf>
    <xf numFmtId="0" fontId="25" fillId="8" borderId="23" xfId="0" applyFont="1" applyFill="1" applyBorder="1" applyAlignment="1">
      <alignment horizontal="center" vertical="center" textRotation="90" wrapText="1"/>
    </xf>
    <xf numFmtId="2" fontId="11" fillId="8" borderId="22" xfId="0" applyNumberFormat="1" applyFont="1" applyFill="1" applyBorder="1" applyAlignment="1">
      <alignment horizontal="center" vertical="center" textRotation="90" wrapText="1"/>
    </xf>
    <xf numFmtId="0" fontId="25" fillId="8" borderId="45" xfId="0" applyFont="1" applyFill="1" applyBorder="1" applyAlignment="1">
      <alignment horizontal="center" vertical="center" textRotation="90" wrapText="1"/>
    </xf>
    <xf numFmtId="0" fontId="26" fillId="0" borderId="46" xfId="0" applyFont="1" applyBorder="1" applyAlignment="1">
      <alignment vertical="center" wrapText="1"/>
    </xf>
    <xf numFmtId="0" fontId="27" fillId="3" borderId="47" xfId="0" applyFont="1" applyFill="1" applyBorder="1" applyAlignment="1">
      <alignment horizontal="center" vertical="center" wrapText="1"/>
    </xf>
    <xf numFmtId="2" fontId="27" fillId="3" borderId="47" xfId="0" applyNumberFormat="1" applyFont="1" applyFill="1" applyBorder="1" applyAlignment="1">
      <alignment horizontal="center" vertical="center" wrapText="1"/>
    </xf>
    <xf numFmtId="2" fontId="27" fillId="3" borderId="48" xfId="0" applyNumberFormat="1" applyFont="1" applyFill="1" applyBorder="1" applyAlignment="1">
      <alignment horizontal="center" vertical="center" wrapText="1"/>
    </xf>
    <xf numFmtId="0" fontId="27" fillId="3" borderId="20" xfId="0" applyFont="1" applyFill="1" applyBorder="1" applyAlignment="1">
      <alignment horizontal="center" vertical="center" wrapText="1"/>
    </xf>
    <xf numFmtId="2" fontId="27" fillId="3" borderId="50" xfId="0" applyNumberFormat="1" applyFont="1" applyFill="1" applyBorder="1" applyAlignment="1">
      <alignment horizontal="center" vertical="center" wrapText="1"/>
    </xf>
    <xf numFmtId="0" fontId="27" fillId="3" borderId="50" xfId="0" applyFont="1" applyFill="1" applyBorder="1" applyAlignment="1">
      <alignment horizontal="center" vertical="center" wrapText="1"/>
    </xf>
    <xf numFmtId="0" fontId="27" fillId="3" borderId="35" xfId="0" applyFont="1" applyFill="1" applyBorder="1" applyAlignment="1">
      <alignment horizontal="center" vertical="center" wrapText="1"/>
    </xf>
    <xf numFmtId="2" fontId="25" fillId="3" borderId="50" xfId="0" applyNumberFormat="1" applyFont="1" applyFill="1" applyBorder="1" applyAlignment="1">
      <alignment horizontal="center" vertical="center" wrapText="1"/>
    </xf>
    <xf numFmtId="0" fontId="25" fillId="3" borderId="50" xfId="0" applyFont="1" applyFill="1" applyBorder="1" applyAlignment="1">
      <alignment horizontal="center" vertical="center" wrapText="1"/>
    </xf>
    <xf numFmtId="0" fontId="25" fillId="3" borderId="35" xfId="0" applyFont="1" applyFill="1" applyBorder="1" applyAlignment="1">
      <alignment horizontal="center" vertical="center" wrapText="1"/>
    </xf>
    <xf numFmtId="2" fontId="11" fillId="8" borderId="53" xfId="0" applyNumberFormat="1" applyFont="1" applyFill="1" applyBorder="1" applyAlignment="1">
      <alignment horizontal="center" vertical="center" textRotation="90" wrapText="1"/>
    </xf>
    <xf numFmtId="0" fontId="25" fillId="8" borderId="41" xfId="0" applyFont="1" applyFill="1" applyBorder="1" applyAlignment="1">
      <alignment horizontal="center" vertical="center" textRotation="90" wrapText="1"/>
    </xf>
    <xf numFmtId="1" fontId="28" fillId="6" borderId="64" xfId="1" applyNumberFormat="1" applyFont="1" applyFill="1" applyBorder="1" applyAlignment="1">
      <alignment horizontal="center" vertical="center" wrapText="1"/>
    </xf>
    <xf numFmtId="0" fontId="29" fillId="6" borderId="29" xfId="1" applyFont="1" applyFill="1" applyBorder="1" applyAlignment="1">
      <alignment horizontal="left" vertical="center" wrapText="1"/>
    </xf>
    <xf numFmtId="0" fontId="24" fillId="7" borderId="54" xfId="0" applyFont="1" applyFill="1" applyBorder="1" applyAlignment="1">
      <alignment horizontal="center" vertical="center" wrapText="1"/>
    </xf>
    <xf numFmtId="2" fontId="24" fillId="3" borderId="49" xfId="0" applyNumberFormat="1" applyFont="1" applyFill="1" applyBorder="1" applyAlignment="1">
      <alignment horizontal="center" vertical="center" wrapText="1"/>
    </xf>
    <xf numFmtId="0" fontId="24" fillId="3" borderId="30" xfId="0" applyFont="1" applyFill="1" applyBorder="1" applyAlignment="1">
      <alignment horizontal="center" vertical="center" wrapText="1"/>
    </xf>
    <xf numFmtId="2" fontId="24" fillId="3" borderId="36" xfId="0" applyNumberFormat="1" applyFont="1" applyFill="1" applyBorder="1" applyAlignment="1">
      <alignment horizontal="center" vertical="center" wrapText="1"/>
    </xf>
    <xf numFmtId="0" fontId="24" fillId="3" borderId="36" xfId="0" applyFont="1" applyFill="1" applyBorder="1" applyAlignment="1">
      <alignment horizontal="center" vertical="center" wrapText="1"/>
    </xf>
    <xf numFmtId="2" fontId="24" fillId="3" borderId="54" xfId="0" applyNumberFormat="1" applyFont="1" applyFill="1" applyBorder="1" applyAlignment="1">
      <alignment horizontal="center" vertical="center" wrapText="1"/>
    </xf>
    <xf numFmtId="0" fontId="24" fillId="3" borderId="54" xfId="0" applyFont="1" applyFill="1" applyBorder="1" applyAlignment="1">
      <alignment horizontal="center" vertical="center" wrapText="1"/>
    </xf>
    <xf numFmtId="0" fontId="24" fillId="3" borderId="35" xfId="0" applyFont="1" applyFill="1" applyBorder="1" applyAlignment="1">
      <alignment horizontal="center" vertical="center" wrapText="1"/>
    </xf>
    <xf numFmtId="2" fontId="24" fillId="8" borderId="30" xfId="0" applyNumberFormat="1" applyFont="1" applyFill="1" applyBorder="1" applyAlignment="1">
      <alignment horizontal="center" vertical="center" wrapText="1"/>
    </xf>
    <xf numFmtId="0" fontId="24" fillId="8" borderId="30" xfId="0" applyFont="1" applyFill="1" applyBorder="1" applyAlignment="1">
      <alignment horizontal="center" vertical="center" wrapText="1"/>
    </xf>
    <xf numFmtId="1" fontId="28" fillId="0" borderId="64" xfId="1" applyNumberFormat="1" applyFont="1" applyBorder="1" applyAlignment="1">
      <alignment horizontal="center" vertical="center" wrapText="1"/>
    </xf>
    <xf numFmtId="0" fontId="29" fillId="0" borderId="30" xfId="0" applyFont="1" applyBorder="1" applyAlignment="1">
      <alignment vertical="center" wrapText="1"/>
    </xf>
    <xf numFmtId="0" fontId="29" fillId="6" borderId="30" xfId="0" applyFont="1" applyFill="1" applyBorder="1" applyAlignment="1">
      <alignment vertical="center" wrapText="1"/>
    </xf>
    <xf numFmtId="0" fontId="29" fillId="6" borderId="31" xfId="0" applyFont="1" applyFill="1" applyBorder="1" applyAlignment="1">
      <alignment vertical="center" wrapText="1"/>
    </xf>
    <xf numFmtId="0" fontId="29" fillId="2" borderId="32" xfId="1" applyFont="1" applyFill="1" applyBorder="1" applyAlignment="1">
      <alignment vertical="center" wrapText="1"/>
    </xf>
    <xf numFmtId="0" fontId="29" fillId="6" borderId="32" xfId="1" applyFont="1" applyFill="1" applyBorder="1" applyAlignment="1">
      <alignment vertical="center" wrapText="1"/>
    </xf>
    <xf numFmtId="0" fontId="29" fillId="0" borderId="32" xfId="1" applyFont="1" applyBorder="1" applyAlignment="1">
      <alignment vertical="center" wrapText="1"/>
    </xf>
    <xf numFmtId="2" fontId="20" fillId="0" borderId="0" xfId="0" applyNumberFormat="1" applyFont="1"/>
  </cellXfs>
  <cellStyles count="2">
    <cellStyle name="Normal" xfId="0" builtinId="0"/>
    <cellStyle name="Normal 3" xfId="1" xr:uid="{8DAC28A8-49B1-4EA9-96FD-816753C5B9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876C-D112-4B41-861C-8BB756D7F9E2}">
  <dimension ref="A1:DI65"/>
  <sheetViews>
    <sheetView tabSelected="1" zoomScale="50" zoomScaleNormal="50" workbookViewId="0">
      <selection activeCell="AY1" sqref="AY1"/>
    </sheetView>
  </sheetViews>
  <sheetFormatPr baseColWidth="10" defaultColWidth="12.5546875" defaultRowHeight="13.2"/>
  <cols>
    <col min="1" max="1" width="3.33203125" style="2" customWidth="1"/>
    <col min="2" max="2" width="17.77734375" style="2" customWidth="1"/>
    <col min="3" max="4" width="5.44140625" style="2" customWidth="1"/>
    <col min="5" max="5" width="5.109375" style="2" customWidth="1"/>
    <col min="6" max="6" width="4.44140625" style="2" customWidth="1"/>
    <col min="7" max="7" width="5.88671875" style="2" customWidth="1"/>
    <col min="8" max="9" width="5.44140625" style="2" customWidth="1"/>
    <col min="10" max="10" width="4.44140625" style="2" customWidth="1"/>
    <col min="11" max="11" width="5" style="2" customWidth="1"/>
    <col min="12" max="12" width="3.5546875" style="2" customWidth="1"/>
    <col min="13" max="13" width="5.21875" style="2" customWidth="1"/>
    <col min="14" max="15" width="5.6640625" style="2" customWidth="1"/>
    <col min="16" max="16" width="4.109375" style="2" customWidth="1"/>
    <col min="17" max="17" width="5.5546875" style="2" customWidth="1"/>
    <col min="18" max="19" width="5.44140625" style="2" customWidth="1"/>
    <col min="20" max="20" width="4.44140625" style="2" customWidth="1"/>
    <col min="21" max="21" width="5.109375" style="2" customWidth="1"/>
    <col min="22" max="22" width="4.44140625" style="2" customWidth="1"/>
    <col min="23" max="25" width="5.44140625" style="2" customWidth="1"/>
    <col min="26" max="26" width="4.44140625" style="2" customWidth="1"/>
    <col min="27" max="28" width="5.44140625" style="2" customWidth="1"/>
    <col min="29" max="29" width="5.5546875" style="2" customWidth="1"/>
    <col min="30" max="30" width="4.44140625" style="2" customWidth="1"/>
    <col min="31" max="31" width="5.44140625" style="2" customWidth="1"/>
    <col min="32" max="32" width="3.5546875" style="2" customWidth="1"/>
    <col min="33" max="35" width="5.44140625" style="2" customWidth="1"/>
    <col min="36" max="36" width="4.44140625" style="2" customWidth="1"/>
    <col min="37" max="37" width="5.6640625" style="2" customWidth="1"/>
    <col min="38" max="39" width="5.44140625" style="2" customWidth="1"/>
    <col min="40" max="40" width="4.44140625" style="2" customWidth="1"/>
    <col min="41" max="41" width="5.44140625" style="2" customWidth="1"/>
    <col min="42" max="42" width="3.5546875" style="2" customWidth="1"/>
    <col min="43" max="45" width="5.44140625" style="2" customWidth="1"/>
    <col min="46" max="46" width="5.21875" style="2" customWidth="1"/>
    <col min="47" max="48" width="5.44140625" style="2" customWidth="1"/>
    <col min="49" max="49" width="6.109375" style="2" customWidth="1"/>
    <col min="50" max="50" width="4.44140625" style="2" customWidth="1"/>
    <col min="51" max="51" width="5.44140625" style="2" customWidth="1"/>
    <col min="52" max="52" width="3.5546875" style="2" customWidth="1"/>
    <col min="53" max="53" width="6" style="2" customWidth="1"/>
    <col min="54" max="54" width="7.109375" style="2" customWidth="1"/>
    <col min="55" max="55" width="12.5546875" style="2"/>
    <col min="56" max="56" width="6.44140625" style="2" customWidth="1"/>
    <col min="57" max="57" width="33.21875" style="2" customWidth="1"/>
    <col min="58" max="60" width="6.44140625" style="2" customWidth="1"/>
    <col min="61" max="61" width="6.44140625" style="132" customWidth="1"/>
    <col min="62" max="62" width="6.44140625" style="2" customWidth="1"/>
    <col min="63" max="63" width="6.44140625" style="132" customWidth="1"/>
    <col min="64" max="64" width="6.44140625" style="2" customWidth="1"/>
    <col min="65" max="66" width="6.44140625" style="132" customWidth="1"/>
    <col min="67" max="68" width="6.44140625" style="2" customWidth="1"/>
    <col min="69" max="69" width="6.44140625" style="132" customWidth="1"/>
    <col min="70" max="79" width="6.44140625" style="2" customWidth="1"/>
    <col min="80" max="80" width="6.44140625" style="132" customWidth="1"/>
    <col min="81" max="82" width="6.44140625" style="2" customWidth="1"/>
    <col min="83" max="83" width="6.44140625" style="132" customWidth="1"/>
    <col min="84" max="86" width="6.44140625" style="2" customWidth="1"/>
    <col min="87" max="87" width="6.44140625" style="132" customWidth="1"/>
    <col min="88" max="89" width="6.44140625" style="2" customWidth="1"/>
    <col min="90" max="90" width="6.44140625" style="132" customWidth="1"/>
    <col min="91" max="91" width="6.44140625" style="2" customWidth="1"/>
    <col min="92" max="95" width="8.44140625" style="2" customWidth="1"/>
    <col min="96" max="96" width="8.44140625" style="132" customWidth="1"/>
    <col min="97" max="109" width="8.44140625" style="2" customWidth="1"/>
    <col min="110" max="110" width="8.44140625" style="132" customWidth="1"/>
    <col min="111" max="111" width="8.44140625" style="2" customWidth="1"/>
    <col min="112" max="112" width="8.44140625" style="132" customWidth="1"/>
    <col min="113" max="113" width="8.44140625" style="2" customWidth="1"/>
    <col min="114" max="16384" width="12.5546875" style="2"/>
  </cols>
  <sheetData>
    <row r="1" spans="2:113" ht="92.4" customHeight="1" thickBot="1">
      <c r="B1" s="1"/>
      <c r="BP1" s="133"/>
      <c r="CP1" s="134"/>
    </row>
    <row r="2" spans="2:113" ht="15.75" customHeight="1" thickBot="1">
      <c r="B2" s="1"/>
      <c r="O2" s="3"/>
      <c r="P2" s="3"/>
      <c r="Q2" s="3"/>
      <c r="R2" s="3"/>
      <c r="Y2" s="3"/>
      <c r="Z2" s="3"/>
      <c r="AA2" s="3"/>
      <c r="BC2" s="3"/>
      <c r="BF2" s="4" t="s">
        <v>0</v>
      </c>
      <c r="BG2" s="5"/>
      <c r="BH2" s="5"/>
      <c r="BI2" s="5"/>
      <c r="BJ2" s="5"/>
      <c r="BK2" s="5"/>
      <c r="BL2" s="5"/>
      <c r="BM2" s="5"/>
      <c r="BN2" s="6"/>
      <c r="BO2" s="6"/>
      <c r="BP2" s="6"/>
      <c r="BQ2" s="6"/>
      <c r="BR2" s="6"/>
      <c r="BS2" s="6"/>
      <c r="BT2" s="6"/>
      <c r="BU2" s="5"/>
      <c r="BV2" s="7"/>
      <c r="BW2" s="7"/>
      <c r="BX2" s="7"/>
      <c r="BY2" s="7"/>
      <c r="BZ2" s="7"/>
      <c r="CA2" s="7"/>
      <c r="CB2" s="6"/>
      <c r="CC2" s="6"/>
      <c r="CD2" s="6"/>
      <c r="CE2" s="7"/>
      <c r="CF2" s="7"/>
      <c r="CG2" s="7"/>
      <c r="CH2" s="7"/>
      <c r="CI2" s="7"/>
      <c r="CJ2" s="7"/>
      <c r="CK2" s="7"/>
      <c r="CL2" s="135"/>
      <c r="CM2" s="11"/>
      <c r="CN2" s="4" t="s">
        <v>0</v>
      </c>
      <c r="CO2" s="5"/>
      <c r="CP2" s="5"/>
      <c r="CQ2" s="5"/>
      <c r="CR2" s="5"/>
      <c r="CS2" s="5"/>
      <c r="CT2" s="5"/>
      <c r="CU2" s="5"/>
      <c r="CV2" s="6"/>
      <c r="CW2" s="6"/>
      <c r="CX2" s="6"/>
      <c r="CY2" s="6"/>
      <c r="CZ2" s="6"/>
      <c r="DA2" s="6"/>
      <c r="DB2" s="6"/>
      <c r="DC2" s="5"/>
      <c r="DD2" s="7"/>
      <c r="DE2" s="7"/>
      <c r="DF2" s="7"/>
      <c r="DG2" s="7"/>
      <c r="DH2" s="7"/>
      <c r="DI2" s="7"/>
    </row>
    <row r="3" spans="2:113" ht="18">
      <c r="B3" s="1"/>
      <c r="C3" s="4" t="s">
        <v>0</v>
      </c>
      <c r="D3" s="5"/>
      <c r="E3" s="5"/>
      <c r="F3" s="5"/>
      <c r="G3" s="5"/>
      <c r="H3" s="5"/>
      <c r="I3" s="5"/>
      <c r="J3" s="5"/>
      <c r="K3" s="6"/>
      <c r="L3" s="6"/>
      <c r="M3" s="6"/>
      <c r="N3" s="6"/>
      <c r="O3" s="6"/>
      <c r="P3" s="6"/>
      <c r="Q3" s="6"/>
      <c r="R3" s="5"/>
      <c r="S3" s="7"/>
      <c r="T3" s="7"/>
      <c r="U3" s="7"/>
      <c r="V3" s="7"/>
      <c r="W3" s="7"/>
      <c r="X3" s="7"/>
      <c r="Y3" s="6"/>
      <c r="Z3" s="6"/>
      <c r="AA3" s="6"/>
      <c r="AB3" s="7"/>
      <c r="AC3" s="7"/>
      <c r="AD3" s="7"/>
      <c r="AE3" s="7"/>
      <c r="AF3" s="7"/>
      <c r="AG3" s="7"/>
      <c r="AH3" s="7"/>
      <c r="AI3" s="6"/>
      <c r="AJ3" s="8" t="s">
        <v>1</v>
      </c>
      <c r="AK3" s="7"/>
      <c r="AL3" s="7"/>
      <c r="AM3" s="7"/>
      <c r="AN3" s="7"/>
      <c r="AO3" s="9"/>
      <c r="AP3" s="10"/>
      <c r="AQ3" s="4" t="s">
        <v>0</v>
      </c>
      <c r="AR3" s="5"/>
      <c r="AS3" s="5"/>
      <c r="AT3" s="5"/>
      <c r="AU3" s="5"/>
      <c r="AV3" s="5"/>
      <c r="AW3" s="5"/>
      <c r="AX3" s="5"/>
      <c r="AY3" s="6"/>
      <c r="AZ3" s="6"/>
      <c r="BA3" s="6"/>
      <c r="BB3" s="6"/>
      <c r="BC3" s="6"/>
      <c r="BF3" s="12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13"/>
      <c r="CB3" s="3"/>
      <c r="CC3" s="3"/>
      <c r="CD3" s="3"/>
      <c r="CE3" s="2"/>
      <c r="CG3" s="3"/>
      <c r="CH3" s="14" t="s">
        <v>1</v>
      </c>
      <c r="CI3" s="2"/>
      <c r="CJ3" s="3"/>
      <c r="CM3" s="16"/>
      <c r="CN3" s="12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13"/>
      <c r="DF3" s="2"/>
      <c r="DH3" s="3"/>
      <c r="DI3" s="14" t="s">
        <v>1</v>
      </c>
    </row>
    <row r="4" spans="2:113" ht="18">
      <c r="B4" s="1"/>
      <c r="C4" s="1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13"/>
      <c r="Y4" s="3"/>
      <c r="Z4" s="3"/>
      <c r="AA4" s="3"/>
      <c r="AG4" s="3"/>
      <c r="AH4" s="3"/>
      <c r="AI4" s="3"/>
      <c r="AJ4" s="14"/>
      <c r="AO4" s="15"/>
      <c r="AP4" s="10"/>
      <c r="AQ4" s="12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F4" s="17" t="s">
        <v>2</v>
      </c>
      <c r="BG4" s="18"/>
      <c r="BH4" s="18"/>
      <c r="BI4" s="18"/>
      <c r="BJ4" s="18"/>
      <c r="BK4" s="18"/>
      <c r="BL4" s="18"/>
      <c r="BM4" s="3"/>
      <c r="BN4" s="3"/>
      <c r="BO4" s="3"/>
      <c r="BP4" s="3"/>
      <c r="BQ4" s="3"/>
      <c r="BR4" s="3"/>
      <c r="BS4" s="3"/>
      <c r="BT4" s="3"/>
      <c r="BU4" s="13"/>
      <c r="BV4" s="3"/>
      <c r="BW4" s="3"/>
      <c r="BX4" s="3"/>
      <c r="BY4" s="3"/>
      <c r="BZ4" s="3"/>
      <c r="CA4" s="3"/>
      <c r="CB4" s="3"/>
      <c r="CC4" s="3"/>
      <c r="CD4" s="3"/>
      <c r="CE4" s="2"/>
      <c r="CF4" s="3"/>
      <c r="CG4" s="3"/>
      <c r="CH4" s="14"/>
      <c r="CI4" s="2"/>
      <c r="CJ4" s="3"/>
      <c r="CM4" s="16"/>
      <c r="CN4" s="17" t="s">
        <v>2</v>
      </c>
      <c r="CO4" s="18"/>
      <c r="CP4" s="18"/>
      <c r="CQ4" s="18"/>
      <c r="CR4" s="18"/>
      <c r="CS4" s="18"/>
      <c r="CT4" s="18"/>
      <c r="CU4" s="3"/>
      <c r="CV4" s="3"/>
      <c r="CW4" s="3"/>
      <c r="CX4" s="3"/>
      <c r="CY4" s="3"/>
      <c r="CZ4" s="3"/>
      <c r="DA4" s="3"/>
      <c r="DB4" s="3"/>
      <c r="DC4" s="13"/>
      <c r="DD4" s="3"/>
      <c r="DE4" s="3"/>
      <c r="DF4" s="3"/>
      <c r="DG4" s="3"/>
      <c r="DH4" s="3"/>
      <c r="DI4" s="14"/>
    </row>
    <row r="5" spans="2:113" ht="18">
      <c r="B5" s="1"/>
      <c r="C5" s="17" t="s">
        <v>2</v>
      </c>
      <c r="D5" s="18"/>
      <c r="E5" s="18"/>
      <c r="F5" s="18"/>
      <c r="G5" s="18"/>
      <c r="H5" s="18"/>
      <c r="I5" s="18"/>
      <c r="J5" s="3"/>
      <c r="K5" s="3"/>
      <c r="L5" s="3"/>
      <c r="M5" s="3"/>
      <c r="N5" s="3"/>
      <c r="O5" s="3"/>
      <c r="P5" s="3"/>
      <c r="Q5" s="3"/>
      <c r="R5" s="13"/>
      <c r="S5" s="3"/>
      <c r="T5" s="3"/>
      <c r="U5" s="3"/>
      <c r="V5" s="3"/>
      <c r="W5" s="3"/>
      <c r="X5" s="3"/>
      <c r="Y5" s="3"/>
      <c r="Z5" s="3"/>
      <c r="AA5" s="3"/>
      <c r="AG5" s="3"/>
      <c r="AH5" s="3"/>
      <c r="AI5" s="3"/>
      <c r="AJ5" s="14" t="s">
        <v>3</v>
      </c>
      <c r="AO5" s="15"/>
      <c r="AP5" s="10"/>
      <c r="AQ5" s="17" t="s">
        <v>2</v>
      </c>
      <c r="AR5" s="18"/>
      <c r="AS5" s="18"/>
      <c r="AT5" s="18"/>
      <c r="AU5" s="18"/>
      <c r="AV5" s="18"/>
      <c r="AW5" s="18"/>
      <c r="AX5" s="3"/>
      <c r="AY5" s="3"/>
      <c r="AZ5" s="3"/>
      <c r="BA5" s="3"/>
      <c r="BB5" s="3"/>
      <c r="BC5" s="3"/>
      <c r="BF5" s="12"/>
      <c r="BG5" s="3"/>
      <c r="BH5" s="3"/>
      <c r="BI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13"/>
      <c r="BV5" s="3"/>
      <c r="BW5" s="3"/>
      <c r="BX5" s="3"/>
      <c r="BY5" s="3"/>
      <c r="BZ5" s="14"/>
      <c r="CA5" s="3"/>
      <c r="CB5" s="3"/>
      <c r="CC5" s="3"/>
      <c r="CD5" s="3"/>
      <c r="CE5" s="2"/>
      <c r="CF5" s="3"/>
      <c r="CG5" s="3"/>
      <c r="CH5" s="14" t="s">
        <v>56</v>
      </c>
      <c r="CI5" s="2"/>
      <c r="CL5" s="2"/>
      <c r="CM5" s="16"/>
      <c r="CN5" s="12"/>
      <c r="CO5" s="3"/>
      <c r="CP5" s="3"/>
      <c r="CQ5" s="3"/>
      <c r="CR5" s="2"/>
      <c r="CS5" s="3"/>
      <c r="CT5" s="3"/>
      <c r="CU5" s="3"/>
      <c r="CV5" s="3"/>
      <c r="CW5" s="3"/>
      <c r="CX5" s="3"/>
      <c r="CY5" s="3"/>
      <c r="CZ5" s="3"/>
      <c r="DA5" s="3"/>
      <c r="DB5" s="3"/>
      <c r="DC5" s="13"/>
      <c r="DD5" s="3"/>
      <c r="DE5" s="3"/>
      <c r="DF5" s="3"/>
      <c r="DG5" s="3"/>
      <c r="DH5" s="3"/>
      <c r="DI5" s="14" t="s">
        <v>56</v>
      </c>
    </row>
    <row r="6" spans="2:113" ht="18">
      <c r="B6" s="1"/>
      <c r="C6" s="12"/>
      <c r="D6" s="3"/>
      <c r="E6" s="3"/>
      <c r="F6" s="3"/>
      <c r="H6" s="3"/>
      <c r="I6" s="3"/>
      <c r="J6" s="3"/>
      <c r="K6" s="3"/>
      <c r="L6" s="3"/>
      <c r="M6" s="3"/>
      <c r="N6" s="3"/>
      <c r="O6" s="3"/>
      <c r="P6" s="3"/>
      <c r="Q6" s="3"/>
      <c r="R6" s="13"/>
      <c r="S6" s="3"/>
      <c r="T6" s="3"/>
      <c r="U6" s="3"/>
      <c r="V6" s="3"/>
      <c r="W6" s="14"/>
      <c r="X6" s="3"/>
      <c r="Y6" s="3"/>
      <c r="Z6" s="3"/>
      <c r="AA6" s="3"/>
      <c r="AK6" s="19"/>
      <c r="AL6" s="19"/>
      <c r="AO6" s="16"/>
      <c r="AP6" s="10"/>
      <c r="AQ6" s="12"/>
      <c r="AR6" s="3"/>
      <c r="AS6" s="3"/>
      <c r="AT6" s="3"/>
      <c r="AV6" s="3"/>
      <c r="AW6" s="3"/>
      <c r="AX6" s="3"/>
      <c r="AY6" s="3"/>
      <c r="AZ6" s="3"/>
      <c r="BA6" s="3"/>
      <c r="BB6" s="3"/>
      <c r="BC6" s="3"/>
      <c r="BF6" s="12"/>
      <c r="BH6" s="14" t="s">
        <v>4</v>
      </c>
      <c r="BI6" s="2"/>
      <c r="BJ6" s="18" t="s">
        <v>5</v>
      </c>
      <c r="BK6" s="14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2"/>
      <c r="CI6" s="2"/>
      <c r="CL6" s="2"/>
      <c r="CM6" s="16"/>
      <c r="CN6" s="12"/>
      <c r="CP6" s="14" t="s">
        <v>4</v>
      </c>
      <c r="CR6" s="18" t="s">
        <v>5</v>
      </c>
      <c r="CS6" s="14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</row>
    <row r="7" spans="2:113" ht="26.4" thickBot="1">
      <c r="B7" s="1"/>
      <c r="C7" s="12"/>
      <c r="E7" s="14" t="s">
        <v>4</v>
      </c>
      <c r="G7" s="18" t="s">
        <v>5</v>
      </c>
      <c r="H7" s="1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K7" s="19"/>
      <c r="AL7" s="19"/>
      <c r="AO7" s="16"/>
      <c r="AP7" s="10"/>
      <c r="AQ7" s="12"/>
      <c r="AS7" s="14" t="s">
        <v>4</v>
      </c>
      <c r="AU7" s="18" t="s">
        <v>5</v>
      </c>
      <c r="AV7" s="14"/>
      <c r="AW7" s="3"/>
      <c r="AX7" s="3"/>
      <c r="AY7" s="3"/>
      <c r="AZ7" s="3"/>
      <c r="BA7" s="3"/>
      <c r="BB7" s="3"/>
      <c r="BC7" s="3"/>
      <c r="BF7" s="21" t="s">
        <v>6</v>
      </c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5"/>
      <c r="CR7" s="2"/>
      <c r="DF7" s="2"/>
      <c r="DH7" s="2"/>
    </row>
    <row r="8" spans="2:113" ht="24" hidden="1" customHeight="1" thickBot="1">
      <c r="B8" s="20"/>
      <c r="C8" s="21" t="s">
        <v>6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3"/>
      <c r="AP8" s="24"/>
      <c r="AQ8" s="21" t="s">
        <v>6</v>
      </c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5"/>
    </row>
    <row r="9" spans="2:113" ht="15.6" customHeight="1" thickBot="1">
      <c r="C9" s="10"/>
      <c r="D9" s="10"/>
      <c r="E9" s="10"/>
      <c r="F9" s="10"/>
      <c r="G9" s="10"/>
      <c r="H9" s="10"/>
      <c r="I9" s="10"/>
      <c r="J9" s="10"/>
      <c r="K9" s="10"/>
      <c r="L9" s="26"/>
      <c r="M9" s="10"/>
      <c r="N9" s="10"/>
      <c r="O9" s="10"/>
      <c r="P9" s="10"/>
      <c r="Q9" s="10"/>
      <c r="R9" s="10"/>
      <c r="S9" s="10"/>
      <c r="T9" s="10"/>
      <c r="U9" s="10"/>
      <c r="V9" s="26"/>
      <c r="W9" s="10"/>
      <c r="X9" s="10"/>
      <c r="Y9" s="10"/>
      <c r="Z9" s="10"/>
      <c r="AA9" s="10"/>
      <c r="AB9" s="10"/>
      <c r="AC9" s="10"/>
      <c r="AD9" s="10"/>
      <c r="AE9" s="10"/>
      <c r="AF9" s="26"/>
      <c r="AG9" s="10"/>
      <c r="AH9" s="10"/>
      <c r="AI9" s="10"/>
      <c r="AJ9" s="10"/>
      <c r="AK9" s="10"/>
      <c r="AL9" s="10"/>
      <c r="AM9" s="10"/>
      <c r="AN9" s="10"/>
      <c r="AO9" s="10"/>
      <c r="AP9" s="26"/>
      <c r="AQ9" s="10"/>
      <c r="AR9" s="10"/>
      <c r="AS9" s="10"/>
      <c r="AT9" s="10"/>
      <c r="AU9" s="10"/>
      <c r="AV9" s="10"/>
      <c r="AW9" s="10"/>
      <c r="AX9" s="10"/>
      <c r="AY9" s="10"/>
      <c r="AZ9" s="26"/>
    </row>
    <row r="10" spans="2:113" ht="22.8" thickBot="1">
      <c r="B10" s="27"/>
      <c r="C10" s="28" t="s">
        <v>7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119"/>
      <c r="AQ10" s="30" t="s">
        <v>7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2"/>
      <c r="BE10" s="72"/>
      <c r="BF10" s="136" t="s">
        <v>57</v>
      </c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R10" s="2"/>
      <c r="DF10" s="2"/>
      <c r="DH10" s="2"/>
    </row>
    <row r="11" spans="2:113" ht="14.4">
      <c r="B11" s="27"/>
      <c r="C11" s="114" t="s">
        <v>8</v>
      </c>
      <c r="D11" s="115"/>
      <c r="E11" s="115"/>
      <c r="F11" s="115"/>
      <c r="G11" s="115"/>
      <c r="H11" s="115"/>
      <c r="I11" s="115"/>
      <c r="J11" s="116"/>
      <c r="K11" s="117"/>
      <c r="L11" s="118"/>
      <c r="M11" s="114" t="s">
        <v>9</v>
      </c>
      <c r="N11" s="115"/>
      <c r="O11" s="115"/>
      <c r="P11" s="115"/>
      <c r="Q11" s="115"/>
      <c r="R11" s="115"/>
      <c r="S11" s="115"/>
      <c r="T11" s="115"/>
      <c r="U11" s="115"/>
      <c r="V11" s="116"/>
      <c r="W11" s="114" t="s">
        <v>10</v>
      </c>
      <c r="X11" s="115"/>
      <c r="Y11" s="115"/>
      <c r="Z11" s="115"/>
      <c r="AA11" s="115"/>
      <c r="AB11" s="115"/>
      <c r="AC11" s="115"/>
      <c r="AD11" s="115"/>
      <c r="AE11" s="115"/>
      <c r="AF11" s="116"/>
      <c r="AG11" s="114" t="s">
        <v>11</v>
      </c>
      <c r="AH11" s="115"/>
      <c r="AI11" s="115"/>
      <c r="AJ11" s="115"/>
      <c r="AK11" s="115"/>
      <c r="AL11" s="115"/>
      <c r="AM11" s="115"/>
      <c r="AN11" s="115"/>
      <c r="AO11" s="115"/>
      <c r="AP11" s="116"/>
      <c r="AQ11" s="126" t="s">
        <v>12</v>
      </c>
      <c r="AR11" s="127"/>
      <c r="AS11" s="127"/>
      <c r="AT11" s="127"/>
      <c r="AU11" s="127"/>
      <c r="AV11" s="127"/>
      <c r="AW11" s="127"/>
      <c r="AX11" s="127"/>
      <c r="AY11" s="127"/>
      <c r="AZ11" s="128"/>
      <c r="BA11" s="123" t="s">
        <v>13</v>
      </c>
      <c r="BB11" s="121" t="s">
        <v>14</v>
      </c>
      <c r="BD11" s="73"/>
      <c r="BE11" s="72"/>
      <c r="BF11" s="74" t="s">
        <v>58</v>
      </c>
      <c r="BG11" s="75"/>
      <c r="BH11" s="75"/>
      <c r="BI11" s="75"/>
      <c r="BJ11" s="75"/>
      <c r="BK11" s="75"/>
      <c r="BL11" s="75"/>
      <c r="BM11" s="75"/>
      <c r="BN11" s="75" t="s">
        <v>59</v>
      </c>
      <c r="BO11" s="76"/>
      <c r="BP11" s="75" t="s">
        <v>60</v>
      </c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75"/>
      <c r="CB11" s="75"/>
      <c r="CC11" s="76"/>
      <c r="CD11" s="75" t="s">
        <v>61</v>
      </c>
      <c r="CE11" s="75"/>
      <c r="CF11" s="75"/>
      <c r="CG11" s="75"/>
      <c r="CH11" s="75"/>
      <c r="CI11" s="75"/>
      <c r="CJ11" s="75"/>
      <c r="CK11" s="75"/>
      <c r="CL11" s="75"/>
      <c r="CM11" s="76"/>
      <c r="CN11" s="77" t="s">
        <v>62</v>
      </c>
      <c r="CO11" s="75"/>
      <c r="CP11" s="75"/>
      <c r="CQ11" s="75"/>
      <c r="CR11" s="75"/>
      <c r="CS11" s="76"/>
      <c r="CT11" s="74" t="s">
        <v>63</v>
      </c>
      <c r="CU11" s="77"/>
      <c r="CV11" s="77"/>
      <c r="CW11" s="77"/>
      <c r="CX11" s="77"/>
      <c r="CY11" s="77"/>
      <c r="CZ11" s="77"/>
      <c r="DA11" s="77"/>
      <c r="DB11" s="77"/>
      <c r="DC11" s="77"/>
      <c r="DD11" s="77"/>
      <c r="DE11" s="77"/>
      <c r="DF11" s="77"/>
      <c r="DG11" s="78"/>
      <c r="DH11" s="79"/>
      <c r="DI11" s="80"/>
    </row>
    <row r="12" spans="2:113" ht="14.4">
      <c r="B12" s="34"/>
      <c r="C12" s="35" t="s">
        <v>15</v>
      </c>
      <c r="D12" s="36"/>
      <c r="E12" s="36"/>
      <c r="F12" s="120"/>
      <c r="G12" s="35" t="s">
        <v>16</v>
      </c>
      <c r="H12" s="36"/>
      <c r="I12" s="36"/>
      <c r="J12" s="120"/>
      <c r="K12" s="37" t="s">
        <v>17</v>
      </c>
      <c r="L12" s="38" t="s">
        <v>18</v>
      </c>
      <c r="M12" s="35" t="s">
        <v>19</v>
      </c>
      <c r="N12" s="36"/>
      <c r="O12" s="36"/>
      <c r="P12" s="120"/>
      <c r="Q12" s="35" t="s">
        <v>20</v>
      </c>
      <c r="R12" s="36"/>
      <c r="S12" s="36"/>
      <c r="T12" s="120"/>
      <c r="U12" s="37" t="s">
        <v>17</v>
      </c>
      <c r="V12" s="38" t="s">
        <v>18</v>
      </c>
      <c r="W12" s="35" t="s">
        <v>21</v>
      </c>
      <c r="X12" s="36"/>
      <c r="Y12" s="36"/>
      <c r="Z12" s="120"/>
      <c r="AA12" s="35" t="s">
        <v>22</v>
      </c>
      <c r="AB12" s="36"/>
      <c r="AC12" s="36"/>
      <c r="AD12" s="120"/>
      <c r="AE12" s="37" t="s">
        <v>17</v>
      </c>
      <c r="AF12" s="38" t="s">
        <v>18</v>
      </c>
      <c r="AG12" s="39" t="s">
        <v>23</v>
      </c>
      <c r="AH12" s="40"/>
      <c r="AI12" s="40"/>
      <c r="AJ12" s="130"/>
      <c r="AK12" s="39" t="s">
        <v>24</v>
      </c>
      <c r="AL12" s="40"/>
      <c r="AM12" s="40"/>
      <c r="AN12" s="130"/>
      <c r="AO12" s="37" t="s">
        <v>17</v>
      </c>
      <c r="AP12" s="38" t="s">
        <v>18</v>
      </c>
      <c r="AQ12" s="35" t="s">
        <v>25</v>
      </c>
      <c r="AR12" s="36"/>
      <c r="AS12" s="36"/>
      <c r="AT12" s="120"/>
      <c r="AU12" s="35" t="s">
        <v>26</v>
      </c>
      <c r="AV12" s="36"/>
      <c r="AW12" s="36"/>
      <c r="AX12" s="120"/>
      <c r="AY12" s="37" t="s">
        <v>17</v>
      </c>
      <c r="AZ12" s="38" t="s">
        <v>18</v>
      </c>
      <c r="BA12" s="124"/>
      <c r="BB12" s="122"/>
      <c r="BD12" s="81"/>
      <c r="BE12" s="82"/>
      <c r="BF12" s="83" t="s">
        <v>64</v>
      </c>
      <c r="BG12" s="83"/>
      <c r="BH12" s="83"/>
      <c r="BI12" s="83"/>
      <c r="BJ12" s="83" t="s">
        <v>65</v>
      </c>
      <c r="BK12" s="83"/>
      <c r="BL12" s="83"/>
      <c r="BM12" s="84"/>
      <c r="BN12" s="85" t="s">
        <v>17</v>
      </c>
      <c r="BO12" s="86" t="s">
        <v>18</v>
      </c>
      <c r="BP12" s="83" t="s">
        <v>66</v>
      </c>
      <c r="BQ12" s="83"/>
      <c r="BR12" s="83"/>
      <c r="BS12" s="83"/>
      <c r="BT12" s="83" t="s">
        <v>67</v>
      </c>
      <c r="BU12" s="83"/>
      <c r="BV12" s="83"/>
      <c r="BW12" s="83"/>
      <c r="BX12" s="83" t="s">
        <v>68</v>
      </c>
      <c r="BY12" s="83"/>
      <c r="BZ12" s="83"/>
      <c r="CA12" s="84"/>
      <c r="CB12" s="87" t="s">
        <v>17</v>
      </c>
      <c r="CC12" s="88" t="s">
        <v>18</v>
      </c>
      <c r="CD12" s="78" t="s">
        <v>69</v>
      </c>
      <c r="CE12" s="83"/>
      <c r="CF12" s="83"/>
      <c r="CG12" s="83"/>
      <c r="CH12" s="83" t="s">
        <v>70</v>
      </c>
      <c r="CI12" s="83"/>
      <c r="CJ12" s="83"/>
      <c r="CK12" s="83"/>
      <c r="CL12" s="89" t="s">
        <v>17</v>
      </c>
      <c r="CM12" s="90" t="s">
        <v>18</v>
      </c>
      <c r="CN12" s="91" t="s">
        <v>71</v>
      </c>
      <c r="CO12" s="91"/>
      <c r="CP12" s="91"/>
      <c r="CQ12" s="91"/>
      <c r="CR12" s="89" t="s">
        <v>17</v>
      </c>
      <c r="CS12" s="90" t="s">
        <v>18</v>
      </c>
      <c r="CT12" s="83" t="s">
        <v>72</v>
      </c>
      <c r="CU12" s="83"/>
      <c r="CV12" s="83"/>
      <c r="CW12" s="83"/>
      <c r="CX12" s="83" t="s">
        <v>73</v>
      </c>
      <c r="CY12" s="83"/>
      <c r="CZ12" s="83"/>
      <c r="DA12" s="83"/>
      <c r="DB12" s="92" t="s">
        <v>74</v>
      </c>
      <c r="DC12" s="83"/>
      <c r="DD12" s="83"/>
      <c r="DE12" s="83"/>
      <c r="DF12" s="89" t="s">
        <v>17</v>
      </c>
      <c r="DG12" s="90" t="s">
        <v>18</v>
      </c>
      <c r="DH12" s="138" t="s">
        <v>75</v>
      </c>
      <c r="DI12" s="139" t="s">
        <v>76</v>
      </c>
    </row>
    <row r="13" spans="2:113" ht="14.4">
      <c r="B13" s="41" t="s">
        <v>52</v>
      </c>
      <c r="C13" s="42">
        <v>1.5</v>
      </c>
      <c r="D13" s="43"/>
      <c r="E13" s="43"/>
      <c r="F13" s="131"/>
      <c r="G13" s="42">
        <v>1.5</v>
      </c>
      <c r="H13" s="43"/>
      <c r="I13" s="43"/>
      <c r="J13" s="131"/>
      <c r="K13" s="44"/>
      <c r="L13" s="45"/>
      <c r="M13" s="42">
        <v>2</v>
      </c>
      <c r="N13" s="43"/>
      <c r="O13" s="43"/>
      <c r="P13" s="131"/>
      <c r="Q13" s="42">
        <v>1.5</v>
      </c>
      <c r="R13" s="43"/>
      <c r="S13" s="43"/>
      <c r="T13" s="131"/>
      <c r="U13" s="44"/>
      <c r="V13" s="45"/>
      <c r="W13" s="42">
        <v>1.5</v>
      </c>
      <c r="X13" s="43"/>
      <c r="Y13" s="43"/>
      <c r="Z13" s="131"/>
      <c r="AA13" s="42">
        <v>2</v>
      </c>
      <c r="AB13" s="43"/>
      <c r="AC13" s="43"/>
      <c r="AD13" s="131"/>
      <c r="AE13" s="44"/>
      <c r="AF13" s="45"/>
      <c r="AG13" s="42">
        <v>1.5</v>
      </c>
      <c r="AH13" s="43"/>
      <c r="AI13" s="43"/>
      <c r="AJ13" s="131"/>
      <c r="AK13" s="42">
        <v>1.5</v>
      </c>
      <c r="AL13" s="43"/>
      <c r="AM13" s="43"/>
      <c r="AN13" s="131"/>
      <c r="AO13" s="44"/>
      <c r="AP13" s="45"/>
      <c r="AQ13" s="42">
        <v>1</v>
      </c>
      <c r="AR13" s="43"/>
      <c r="AS13" s="43"/>
      <c r="AT13" s="131"/>
      <c r="AU13" s="42">
        <v>1</v>
      </c>
      <c r="AV13" s="43"/>
      <c r="AW13" s="43"/>
      <c r="AX13" s="131"/>
      <c r="AY13" s="44"/>
      <c r="AZ13" s="45"/>
      <c r="BA13" s="124"/>
      <c r="BB13" s="122"/>
      <c r="BD13" s="93"/>
      <c r="BE13" s="94" t="s">
        <v>27</v>
      </c>
      <c r="BF13" s="92">
        <v>1.5</v>
      </c>
      <c r="BG13" s="92"/>
      <c r="BH13" s="92"/>
      <c r="BI13" s="92"/>
      <c r="BJ13" s="92">
        <v>1.5</v>
      </c>
      <c r="BK13" s="92"/>
      <c r="BL13" s="92"/>
      <c r="BM13" s="74"/>
      <c r="BN13" s="95"/>
      <c r="BO13" s="96"/>
      <c r="BP13" s="92">
        <v>1.5</v>
      </c>
      <c r="BQ13" s="92"/>
      <c r="BR13" s="92"/>
      <c r="BS13" s="92"/>
      <c r="BT13" s="92">
        <v>1</v>
      </c>
      <c r="BU13" s="92"/>
      <c r="BV13" s="92"/>
      <c r="BW13" s="92"/>
      <c r="BX13" s="92">
        <v>1</v>
      </c>
      <c r="BY13" s="92"/>
      <c r="BZ13" s="92"/>
      <c r="CA13" s="74"/>
      <c r="CB13" s="97"/>
      <c r="CC13" s="98"/>
      <c r="CD13" s="78">
        <v>1.5</v>
      </c>
      <c r="CE13" s="92"/>
      <c r="CF13" s="92"/>
      <c r="CG13" s="92"/>
      <c r="CH13" s="92">
        <v>2</v>
      </c>
      <c r="CI13" s="92"/>
      <c r="CJ13" s="92"/>
      <c r="CK13" s="92"/>
      <c r="CL13" s="89"/>
      <c r="CM13" s="90"/>
      <c r="CN13" s="99">
        <v>2</v>
      </c>
      <c r="CO13" s="99"/>
      <c r="CP13" s="99"/>
      <c r="CQ13" s="99"/>
      <c r="CR13" s="89"/>
      <c r="CS13" s="90"/>
      <c r="CT13" s="92">
        <v>1</v>
      </c>
      <c r="CU13" s="92"/>
      <c r="CV13" s="92"/>
      <c r="CW13" s="92"/>
      <c r="CX13" s="92">
        <v>1</v>
      </c>
      <c r="CY13" s="92"/>
      <c r="CZ13" s="92"/>
      <c r="DA13" s="92"/>
      <c r="DB13" s="92">
        <v>1</v>
      </c>
      <c r="DC13" s="92"/>
      <c r="DD13" s="92"/>
      <c r="DE13" s="92"/>
      <c r="DF13" s="89"/>
      <c r="DG13" s="90"/>
      <c r="DH13" s="140"/>
      <c r="DI13" s="141"/>
    </row>
    <row r="14" spans="2:113" ht="14.4">
      <c r="B14" s="41" t="s">
        <v>53</v>
      </c>
      <c r="C14" s="46">
        <v>3</v>
      </c>
      <c r="D14" s="47"/>
      <c r="E14" s="47"/>
      <c r="F14" s="129"/>
      <c r="G14" s="46">
        <v>3</v>
      </c>
      <c r="H14" s="47"/>
      <c r="I14" s="47"/>
      <c r="J14" s="129"/>
      <c r="K14" s="44"/>
      <c r="L14" s="45"/>
      <c r="M14" s="46">
        <v>4</v>
      </c>
      <c r="N14" s="47"/>
      <c r="O14" s="47"/>
      <c r="P14" s="129"/>
      <c r="Q14" s="46">
        <v>3</v>
      </c>
      <c r="R14" s="47"/>
      <c r="S14" s="47"/>
      <c r="T14" s="129"/>
      <c r="U14" s="44"/>
      <c r="V14" s="45"/>
      <c r="W14" s="46">
        <v>3</v>
      </c>
      <c r="X14" s="47"/>
      <c r="Y14" s="47"/>
      <c r="Z14" s="129"/>
      <c r="AA14" s="46">
        <v>4</v>
      </c>
      <c r="AB14" s="47"/>
      <c r="AC14" s="47"/>
      <c r="AD14" s="129"/>
      <c r="AE14" s="44"/>
      <c r="AF14" s="45"/>
      <c r="AG14" s="46">
        <v>3</v>
      </c>
      <c r="AH14" s="47"/>
      <c r="AI14" s="47"/>
      <c r="AJ14" s="129"/>
      <c r="AK14" s="46">
        <v>3</v>
      </c>
      <c r="AL14" s="47"/>
      <c r="AM14" s="47"/>
      <c r="AN14" s="129"/>
      <c r="AO14" s="44"/>
      <c r="AP14" s="45"/>
      <c r="AQ14" s="46">
        <v>2</v>
      </c>
      <c r="AR14" s="47"/>
      <c r="AS14" s="47"/>
      <c r="AT14" s="129"/>
      <c r="AU14" s="46">
        <v>2</v>
      </c>
      <c r="AV14" s="47"/>
      <c r="AW14" s="47"/>
      <c r="AX14" s="129"/>
      <c r="AY14" s="44"/>
      <c r="AZ14" s="45"/>
      <c r="BA14" s="124"/>
      <c r="BB14" s="122"/>
      <c r="BD14" s="93"/>
      <c r="BE14" s="94" t="s">
        <v>28</v>
      </c>
      <c r="BF14" s="92">
        <v>3</v>
      </c>
      <c r="BG14" s="92"/>
      <c r="BH14" s="92"/>
      <c r="BI14" s="92"/>
      <c r="BJ14" s="92">
        <v>3</v>
      </c>
      <c r="BK14" s="92"/>
      <c r="BL14" s="92"/>
      <c r="BM14" s="74"/>
      <c r="BN14" s="95"/>
      <c r="BO14" s="96"/>
      <c r="BP14" s="92">
        <v>3</v>
      </c>
      <c r="BQ14" s="92"/>
      <c r="BR14" s="92"/>
      <c r="BS14" s="92"/>
      <c r="BT14" s="92">
        <v>2</v>
      </c>
      <c r="BU14" s="92"/>
      <c r="BV14" s="92"/>
      <c r="BW14" s="92"/>
      <c r="BX14" s="92">
        <v>2</v>
      </c>
      <c r="BY14" s="92"/>
      <c r="BZ14" s="92"/>
      <c r="CA14" s="74"/>
      <c r="CB14" s="97"/>
      <c r="CC14" s="98"/>
      <c r="CD14" s="78">
        <v>3</v>
      </c>
      <c r="CE14" s="92"/>
      <c r="CF14" s="92"/>
      <c r="CG14" s="92"/>
      <c r="CH14" s="92">
        <v>4</v>
      </c>
      <c r="CI14" s="92"/>
      <c r="CJ14" s="92"/>
      <c r="CK14" s="92"/>
      <c r="CL14" s="89"/>
      <c r="CM14" s="90"/>
      <c r="CN14" s="99">
        <v>4</v>
      </c>
      <c r="CO14" s="99"/>
      <c r="CP14" s="99"/>
      <c r="CQ14" s="99"/>
      <c r="CR14" s="89"/>
      <c r="CS14" s="90"/>
      <c r="CT14" s="92">
        <v>2</v>
      </c>
      <c r="CU14" s="92"/>
      <c r="CV14" s="92"/>
      <c r="CW14" s="92"/>
      <c r="CX14" s="92">
        <v>2</v>
      </c>
      <c r="CY14" s="92"/>
      <c r="CZ14" s="92"/>
      <c r="DA14" s="92"/>
      <c r="DB14" s="92">
        <v>2</v>
      </c>
      <c r="DC14" s="92"/>
      <c r="DD14" s="92"/>
      <c r="DE14" s="92"/>
      <c r="DF14" s="89"/>
      <c r="DG14" s="90"/>
      <c r="DH14" s="140"/>
      <c r="DI14" s="141"/>
    </row>
    <row r="15" spans="2:113" ht="14.4">
      <c r="B15" s="41" t="s">
        <v>54</v>
      </c>
      <c r="C15" s="42">
        <f>SUM(C13:J13)</f>
        <v>3</v>
      </c>
      <c r="D15" s="43"/>
      <c r="E15" s="43"/>
      <c r="F15" s="43"/>
      <c r="G15" s="43"/>
      <c r="H15" s="43"/>
      <c r="I15" s="43"/>
      <c r="J15" s="131"/>
      <c r="K15" s="44"/>
      <c r="L15" s="45"/>
      <c r="M15" s="42">
        <f>SUM(M13:T13)</f>
        <v>3.5</v>
      </c>
      <c r="N15" s="43"/>
      <c r="O15" s="43"/>
      <c r="P15" s="43"/>
      <c r="Q15" s="43"/>
      <c r="R15" s="43"/>
      <c r="S15" s="43"/>
      <c r="T15" s="131"/>
      <c r="U15" s="44"/>
      <c r="V15" s="45"/>
      <c r="W15" s="42">
        <f>SUM(W13:AD13)</f>
        <v>3.5</v>
      </c>
      <c r="X15" s="43"/>
      <c r="Y15" s="43"/>
      <c r="Z15" s="43"/>
      <c r="AA15" s="43"/>
      <c r="AB15" s="43"/>
      <c r="AC15" s="43"/>
      <c r="AD15" s="131"/>
      <c r="AE15" s="44"/>
      <c r="AF15" s="45"/>
      <c r="AG15" s="42">
        <f>SUM(AG13:AN13)</f>
        <v>3</v>
      </c>
      <c r="AH15" s="43"/>
      <c r="AI15" s="43"/>
      <c r="AJ15" s="43"/>
      <c r="AK15" s="43"/>
      <c r="AL15" s="43"/>
      <c r="AM15" s="43"/>
      <c r="AN15" s="131"/>
      <c r="AO15" s="44"/>
      <c r="AP15" s="45"/>
      <c r="AQ15" s="42">
        <f>SUM(AQ13:AX13)</f>
        <v>2</v>
      </c>
      <c r="AR15" s="43"/>
      <c r="AS15" s="43"/>
      <c r="AT15" s="43"/>
      <c r="AU15" s="43"/>
      <c r="AV15" s="43"/>
      <c r="AW15" s="43"/>
      <c r="AX15" s="131"/>
      <c r="AY15" s="44"/>
      <c r="AZ15" s="45"/>
      <c r="BA15" s="124"/>
      <c r="BB15" s="122"/>
      <c r="BD15" s="93"/>
      <c r="BE15" s="94" t="s">
        <v>29</v>
      </c>
      <c r="BF15" s="100">
        <v>3</v>
      </c>
      <c r="BG15" s="101"/>
      <c r="BH15" s="101"/>
      <c r="BI15" s="101"/>
      <c r="BJ15" s="101"/>
      <c r="BK15" s="101"/>
      <c r="BL15" s="101"/>
      <c r="BM15" s="101"/>
      <c r="BN15" s="95"/>
      <c r="BO15" s="102"/>
      <c r="BP15" s="100">
        <v>3.5</v>
      </c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97"/>
      <c r="CC15" s="98"/>
      <c r="CD15" s="103">
        <v>3.5</v>
      </c>
      <c r="CE15" s="103"/>
      <c r="CF15" s="103"/>
      <c r="CG15" s="103"/>
      <c r="CH15" s="103"/>
      <c r="CI15" s="103"/>
      <c r="CJ15" s="103"/>
      <c r="CK15" s="103"/>
      <c r="CL15" s="89"/>
      <c r="CM15" s="90"/>
      <c r="CN15" s="99">
        <v>2</v>
      </c>
      <c r="CO15" s="99"/>
      <c r="CP15" s="99"/>
      <c r="CQ15" s="99"/>
      <c r="CR15" s="89"/>
      <c r="CS15" s="90"/>
      <c r="CT15" s="104">
        <v>3</v>
      </c>
      <c r="CU15" s="103"/>
      <c r="CV15" s="103"/>
      <c r="CW15" s="103"/>
      <c r="CX15" s="103"/>
      <c r="CY15" s="103"/>
      <c r="CZ15" s="103"/>
      <c r="DA15" s="103"/>
      <c r="DB15" s="103"/>
      <c r="DC15" s="103"/>
      <c r="DD15" s="103"/>
      <c r="DE15" s="103"/>
      <c r="DF15" s="89"/>
      <c r="DG15" s="90"/>
      <c r="DH15" s="140"/>
      <c r="DI15" s="141"/>
    </row>
    <row r="16" spans="2:113" ht="14.4">
      <c r="B16" s="41" t="s">
        <v>55</v>
      </c>
      <c r="C16" s="46">
        <f>SUM(C14:J14)</f>
        <v>6</v>
      </c>
      <c r="D16" s="47"/>
      <c r="E16" s="47"/>
      <c r="F16" s="47"/>
      <c r="G16" s="47"/>
      <c r="H16" s="47"/>
      <c r="I16" s="47"/>
      <c r="J16" s="129"/>
      <c r="K16" s="44"/>
      <c r="L16" s="45"/>
      <c r="M16" s="46">
        <f>SUM(M14:T14)</f>
        <v>7</v>
      </c>
      <c r="N16" s="47"/>
      <c r="O16" s="47"/>
      <c r="P16" s="47"/>
      <c r="Q16" s="47"/>
      <c r="R16" s="47"/>
      <c r="S16" s="47"/>
      <c r="T16" s="129"/>
      <c r="U16" s="44"/>
      <c r="V16" s="45"/>
      <c r="W16" s="46">
        <f>SUM(W14:AD14)</f>
        <v>7</v>
      </c>
      <c r="X16" s="47"/>
      <c r="Y16" s="47"/>
      <c r="Z16" s="47"/>
      <c r="AA16" s="47"/>
      <c r="AB16" s="47"/>
      <c r="AC16" s="47"/>
      <c r="AD16" s="129"/>
      <c r="AE16" s="44"/>
      <c r="AF16" s="45"/>
      <c r="AG16" s="46">
        <f>SUM(AG14:AN14)</f>
        <v>6</v>
      </c>
      <c r="AH16" s="47"/>
      <c r="AI16" s="47"/>
      <c r="AJ16" s="47"/>
      <c r="AK16" s="47"/>
      <c r="AL16" s="47"/>
      <c r="AM16" s="47"/>
      <c r="AN16" s="129"/>
      <c r="AO16" s="44"/>
      <c r="AP16" s="45"/>
      <c r="AQ16" s="46">
        <f>SUM(AQ14:AX14)</f>
        <v>4</v>
      </c>
      <c r="AR16" s="47"/>
      <c r="AS16" s="47"/>
      <c r="AT16" s="47"/>
      <c r="AU16" s="47"/>
      <c r="AV16" s="47"/>
      <c r="AW16" s="47"/>
      <c r="AX16" s="129"/>
      <c r="AY16" s="44"/>
      <c r="AZ16" s="45"/>
      <c r="BA16" s="124"/>
      <c r="BB16" s="122"/>
      <c r="BD16" s="93"/>
      <c r="BE16" s="94" t="s">
        <v>30</v>
      </c>
      <c r="BF16" s="105">
        <v>6</v>
      </c>
      <c r="BG16" s="106"/>
      <c r="BH16" s="106"/>
      <c r="BI16" s="106"/>
      <c r="BJ16" s="106"/>
      <c r="BK16" s="106"/>
      <c r="BL16" s="106"/>
      <c r="BM16" s="106"/>
      <c r="BN16" s="95"/>
      <c r="BO16" s="102"/>
      <c r="BP16" s="107">
        <v>7</v>
      </c>
      <c r="BQ16" s="99"/>
      <c r="BR16" s="99"/>
      <c r="BS16" s="99"/>
      <c r="BT16" s="99"/>
      <c r="BU16" s="99"/>
      <c r="BV16" s="99"/>
      <c r="BW16" s="99"/>
      <c r="BX16" s="99"/>
      <c r="BY16" s="99"/>
      <c r="BZ16" s="99"/>
      <c r="CA16" s="99"/>
      <c r="CB16" s="97"/>
      <c r="CC16" s="98"/>
      <c r="CD16" s="99">
        <v>7</v>
      </c>
      <c r="CE16" s="99"/>
      <c r="CF16" s="99"/>
      <c r="CG16" s="99"/>
      <c r="CH16" s="99"/>
      <c r="CI16" s="99"/>
      <c r="CJ16" s="99"/>
      <c r="CK16" s="99"/>
      <c r="CL16" s="89"/>
      <c r="CM16" s="90"/>
      <c r="CN16" s="99">
        <v>4</v>
      </c>
      <c r="CO16" s="99"/>
      <c r="CP16" s="99"/>
      <c r="CQ16" s="99"/>
      <c r="CR16" s="89"/>
      <c r="CS16" s="90"/>
      <c r="CT16" s="107">
        <v>6</v>
      </c>
      <c r="CU16" s="99"/>
      <c r="CV16" s="99"/>
      <c r="CW16" s="99"/>
      <c r="CX16" s="99"/>
      <c r="CY16" s="99"/>
      <c r="CZ16" s="99"/>
      <c r="DA16" s="99"/>
      <c r="DB16" s="99"/>
      <c r="DC16" s="99"/>
      <c r="DD16" s="99"/>
      <c r="DE16" s="99"/>
      <c r="DF16" s="89"/>
      <c r="DG16" s="90"/>
      <c r="DH16" s="140"/>
      <c r="DI16" s="141"/>
    </row>
    <row r="17" spans="1:113" s="52" customFormat="1" ht="15.6">
      <c r="A17" s="48" t="s">
        <v>31</v>
      </c>
      <c r="B17" s="48" t="s">
        <v>32</v>
      </c>
      <c r="C17" s="49" t="s">
        <v>33</v>
      </c>
      <c r="D17" s="49" t="s">
        <v>34</v>
      </c>
      <c r="E17" s="49" t="s">
        <v>35</v>
      </c>
      <c r="F17" s="49" t="s">
        <v>36</v>
      </c>
      <c r="G17" s="49" t="s">
        <v>33</v>
      </c>
      <c r="H17" s="49" t="s">
        <v>34</v>
      </c>
      <c r="I17" s="49" t="s">
        <v>35</v>
      </c>
      <c r="J17" s="49" t="s">
        <v>36</v>
      </c>
      <c r="K17" s="50"/>
      <c r="L17" s="51"/>
      <c r="M17" s="49" t="s">
        <v>33</v>
      </c>
      <c r="N17" s="49" t="s">
        <v>34</v>
      </c>
      <c r="O17" s="49" t="s">
        <v>35</v>
      </c>
      <c r="P17" s="49" t="s">
        <v>36</v>
      </c>
      <c r="Q17" s="49" t="s">
        <v>33</v>
      </c>
      <c r="R17" s="49" t="s">
        <v>34</v>
      </c>
      <c r="S17" s="49" t="s">
        <v>35</v>
      </c>
      <c r="T17" s="49" t="s">
        <v>36</v>
      </c>
      <c r="U17" s="50"/>
      <c r="V17" s="51"/>
      <c r="W17" s="49" t="s">
        <v>33</v>
      </c>
      <c r="X17" s="49" t="s">
        <v>34</v>
      </c>
      <c r="Y17" s="49" t="s">
        <v>35</v>
      </c>
      <c r="Z17" s="49" t="s">
        <v>36</v>
      </c>
      <c r="AA17" s="49" t="s">
        <v>33</v>
      </c>
      <c r="AB17" s="49" t="s">
        <v>34</v>
      </c>
      <c r="AC17" s="49" t="s">
        <v>35</v>
      </c>
      <c r="AD17" s="49" t="s">
        <v>36</v>
      </c>
      <c r="AE17" s="50"/>
      <c r="AF17" s="51"/>
      <c r="AG17" s="49" t="s">
        <v>33</v>
      </c>
      <c r="AH17" s="49" t="s">
        <v>34</v>
      </c>
      <c r="AI17" s="49" t="s">
        <v>35</v>
      </c>
      <c r="AJ17" s="49" t="s">
        <v>36</v>
      </c>
      <c r="AK17" s="49" t="s">
        <v>33</v>
      </c>
      <c r="AL17" s="49" t="s">
        <v>34</v>
      </c>
      <c r="AM17" s="49" t="s">
        <v>35</v>
      </c>
      <c r="AN17" s="49" t="s">
        <v>36</v>
      </c>
      <c r="AO17" s="50"/>
      <c r="AP17" s="51"/>
      <c r="AQ17" s="49" t="s">
        <v>33</v>
      </c>
      <c r="AR17" s="49" t="s">
        <v>34</v>
      </c>
      <c r="AS17" s="49" t="s">
        <v>35</v>
      </c>
      <c r="AT17" s="49" t="s">
        <v>36</v>
      </c>
      <c r="AU17" s="49" t="s">
        <v>33</v>
      </c>
      <c r="AV17" s="49" t="s">
        <v>34</v>
      </c>
      <c r="AW17" s="49" t="s">
        <v>35</v>
      </c>
      <c r="AX17" s="49" t="s">
        <v>36</v>
      </c>
      <c r="AY17" s="50"/>
      <c r="AZ17" s="51"/>
      <c r="BA17" s="125"/>
      <c r="BB17" s="33"/>
      <c r="BD17" s="108" t="s">
        <v>31</v>
      </c>
      <c r="BE17" s="142" t="s">
        <v>32</v>
      </c>
      <c r="BF17" s="143" t="s">
        <v>33</v>
      </c>
      <c r="BG17" s="143" t="s">
        <v>34</v>
      </c>
      <c r="BH17" s="144" t="s">
        <v>35</v>
      </c>
      <c r="BI17" s="143" t="s">
        <v>36</v>
      </c>
      <c r="BJ17" s="144" t="s">
        <v>33</v>
      </c>
      <c r="BK17" s="143" t="s">
        <v>34</v>
      </c>
      <c r="BL17" s="145" t="s">
        <v>35</v>
      </c>
      <c r="BM17" s="146" t="s">
        <v>36</v>
      </c>
      <c r="BN17" s="109"/>
      <c r="BO17" s="110"/>
      <c r="BP17" s="147" t="s">
        <v>33</v>
      </c>
      <c r="BQ17" s="148" t="s">
        <v>34</v>
      </c>
      <c r="BR17" s="148" t="s">
        <v>35</v>
      </c>
      <c r="BS17" s="148" t="s">
        <v>36</v>
      </c>
      <c r="BT17" s="148" t="s">
        <v>33</v>
      </c>
      <c r="BU17" s="148" t="s">
        <v>34</v>
      </c>
      <c r="BV17" s="148" t="s">
        <v>35</v>
      </c>
      <c r="BW17" s="148" t="s">
        <v>36</v>
      </c>
      <c r="BX17" s="148" t="s">
        <v>33</v>
      </c>
      <c r="BY17" s="148" t="s">
        <v>34</v>
      </c>
      <c r="BZ17" s="148" t="s">
        <v>35</v>
      </c>
      <c r="CA17" s="149" t="s">
        <v>36</v>
      </c>
      <c r="CB17" s="111"/>
      <c r="CC17" s="112"/>
      <c r="CD17" s="150" t="s">
        <v>33</v>
      </c>
      <c r="CE17" s="151" t="s">
        <v>34</v>
      </c>
      <c r="CF17" s="151" t="s">
        <v>35</v>
      </c>
      <c r="CG17" s="151" t="s">
        <v>36</v>
      </c>
      <c r="CH17" s="150" t="s">
        <v>33</v>
      </c>
      <c r="CI17" s="151" t="s">
        <v>34</v>
      </c>
      <c r="CJ17" s="151" t="s">
        <v>35</v>
      </c>
      <c r="CK17" s="152" t="s">
        <v>36</v>
      </c>
      <c r="CL17" s="89"/>
      <c r="CM17" s="90"/>
      <c r="CN17" s="151" t="s">
        <v>33</v>
      </c>
      <c r="CO17" s="151" t="s">
        <v>34</v>
      </c>
      <c r="CP17" s="151" t="s">
        <v>35</v>
      </c>
      <c r="CQ17" s="151" t="s">
        <v>36</v>
      </c>
      <c r="CR17" s="89"/>
      <c r="CS17" s="90"/>
      <c r="CT17" s="151" t="s">
        <v>33</v>
      </c>
      <c r="CU17" s="151" t="s">
        <v>34</v>
      </c>
      <c r="CV17" s="151" t="s">
        <v>35</v>
      </c>
      <c r="CW17" s="151" t="s">
        <v>36</v>
      </c>
      <c r="CX17" s="151" t="s">
        <v>33</v>
      </c>
      <c r="CY17" s="151" t="s">
        <v>34</v>
      </c>
      <c r="CZ17" s="151" t="s">
        <v>35</v>
      </c>
      <c r="DA17" s="151" t="s">
        <v>36</v>
      </c>
      <c r="DB17" s="151" t="s">
        <v>33</v>
      </c>
      <c r="DC17" s="151" t="s">
        <v>34</v>
      </c>
      <c r="DD17" s="151" t="s">
        <v>35</v>
      </c>
      <c r="DE17" s="152" t="s">
        <v>36</v>
      </c>
      <c r="DF17" s="89"/>
      <c r="DG17" s="90"/>
      <c r="DH17" s="153"/>
      <c r="DI17" s="154"/>
    </row>
    <row r="18" spans="1:113" s="62" customFormat="1" ht="31.8" customHeight="1" thickBot="1">
      <c r="A18" s="53">
        <v>1</v>
      </c>
      <c r="B18" s="54" t="s">
        <v>37</v>
      </c>
      <c r="C18" s="55">
        <v>8</v>
      </c>
      <c r="D18" s="55">
        <v>3</v>
      </c>
      <c r="E18" s="55">
        <v>4.5</v>
      </c>
      <c r="F18" s="56">
        <f>IF(E18&gt;=10,C$14,0)</f>
        <v>0</v>
      </c>
      <c r="G18" s="55">
        <v>8.75</v>
      </c>
      <c r="H18" s="55">
        <v>0.5</v>
      </c>
      <c r="I18" s="55">
        <v>2.9750000000000001</v>
      </c>
      <c r="J18" s="56">
        <f t="shared" ref="J18:J31" si="0">IF(I18&gt;=10,G$14,0)</f>
        <v>0</v>
      </c>
      <c r="K18" s="57">
        <f>(E18*C$13+I18*G$13)/C$15</f>
        <v>3.7375000000000003</v>
      </c>
      <c r="L18" s="58">
        <f>IF(K18&gt;=10,C$16,SUM(F18,J18))</f>
        <v>0</v>
      </c>
      <c r="M18" s="55">
        <v>16.25</v>
      </c>
      <c r="N18" s="55">
        <v>12</v>
      </c>
      <c r="O18" s="55">
        <v>13.274999999999999</v>
      </c>
      <c r="P18" s="59">
        <v>4</v>
      </c>
      <c r="Q18" s="55">
        <v>16.25</v>
      </c>
      <c r="R18" s="55">
        <v>15.5</v>
      </c>
      <c r="S18" s="55">
        <v>15.725</v>
      </c>
      <c r="T18" s="59">
        <v>3</v>
      </c>
      <c r="U18" s="57">
        <v>14.324999999999999</v>
      </c>
      <c r="V18" s="58">
        <v>7</v>
      </c>
      <c r="W18" s="55">
        <v>16.5</v>
      </c>
      <c r="X18" s="55">
        <v>12.5</v>
      </c>
      <c r="Y18" s="55">
        <v>13.7</v>
      </c>
      <c r="Z18" s="59">
        <v>3</v>
      </c>
      <c r="AA18" s="55">
        <v>13.333333333333334</v>
      </c>
      <c r="AB18" s="55">
        <v>8.5</v>
      </c>
      <c r="AC18" s="55">
        <v>9.9499999999999993</v>
      </c>
      <c r="AD18" s="59">
        <v>0</v>
      </c>
      <c r="AE18" s="57">
        <v>11.557142857142855</v>
      </c>
      <c r="AF18" s="58">
        <v>7</v>
      </c>
      <c r="AG18" s="55">
        <v>7</v>
      </c>
      <c r="AH18" s="55">
        <v>0</v>
      </c>
      <c r="AI18" s="55">
        <v>2.1</v>
      </c>
      <c r="AJ18" s="59">
        <v>0</v>
      </c>
      <c r="AK18" s="55">
        <v>12.526666666666666</v>
      </c>
      <c r="AL18" s="55">
        <v>6.5</v>
      </c>
      <c r="AM18" s="55">
        <v>8.3079999999999998</v>
      </c>
      <c r="AN18" s="59">
        <v>0</v>
      </c>
      <c r="AO18" s="57">
        <v>5.2039999999999997</v>
      </c>
      <c r="AP18" s="58">
        <v>0</v>
      </c>
      <c r="AQ18" s="55">
        <v>17</v>
      </c>
      <c r="AR18" s="55">
        <v>10</v>
      </c>
      <c r="AS18" s="55">
        <v>11.4</v>
      </c>
      <c r="AT18" s="59">
        <v>2</v>
      </c>
      <c r="AU18" s="55">
        <v>18</v>
      </c>
      <c r="AV18" s="55">
        <v>12.5</v>
      </c>
      <c r="AW18" s="55">
        <v>13.6</v>
      </c>
      <c r="AX18" s="59">
        <v>2</v>
      </c>
      <c r="AY18" s="57">
        <v>12.5</v>
      </c>
      <c r="AZ18" s="58">
        <v>4</v>
      </c>
      <c r="BA18" s="60">
        <v>9.4941333333333322</v>
      </c>
      <c r="BB18" s="61">
        <v>18</v>
      </c>
      <c r="BD18" s="155">
        <v>1</v>
      </c>
      <c r="BE18" s="156" t="s">
        <v>37</v>
      </c>
      <c r="BF18" s="113">
        <v>8</v>
      </c>
      <c r="BG18" s="113">
        <v>3</v>
      </c>
      <c r="BH18" s="113">
        <v>4.5</v>
      </c>
      <c r="BI18" s="157">
        <v>0</v>
      </c>
      <c r="BJ18" s="113">
        <v>9.375</v>
      </c>
      <c r="BK18" s="113">
        <v>1</v>
      </c>
      <c r="BL18" s="113">
        <v>3.5125000000000002</v>
      </c>
      <c r="BM18" s="157">
        <v>0</v>
      </c>
      <c r="BN18" s="158">
        <v>4.0062500000000005</v>
      </c>
      <c r="BO18" s="159">
        <v>0</v>
      </c>
      <c r="BP18" s="113">
        <v>15.5</v>
      </c>
      <c r="BQ18" s="113">
        <v>14</v>
      </c>
      <c r="BR18" s="113">
        <v>14.45</v>
      </c>
      <c r="BS18" s="157">
        <v>3</v>
      </c>
      <c r="BT18" s="113">
        <v>15.75</v>
      </c>
      <c r="BU18" s="113">
        <v>15</v>
      </c>
      <c r="BV18" s="113">
        <v>15.225</v>
      </c>
      <c r="BW18" s="157">
        <v>2</v>
      </c>
      <c r="BX18" s="113">
        <v>13</v>
      </c>
      <c r="BY18" s="113">
        <v>10</v>
      </c>
      <c r="BZ18" s="113">
        <v>10.9</v>
      </c>
      <c r="CA18" s="157">
        <v>2</v>
      </c>
      <c r="CB18" s="160">
        <v>13.657142857142857</v>
      </c>
      <c r="CC18" s="161">
        <v>7</v>
      </c>
      <c r="CD18" s="113">
        <v>13.166666666666666</v>
      </c>
      <c r="CE18" s="113">
        <v>5</v>
      </c>
      <c r="CF18" s="113">
        <v>7.4499999999999993</v>
      </c>
      <c r="CG18" s="157">
        <v>0</v>
      </c>
      <c r="CH18" s="113">
        <v>9.625</v>
      </c>
      <c r="CI18" s="113">
        <v>3.25</v>
      </c>
      <c r="CJ18" s="113">
        <v>5.1624999999999996</v>
      </c>
      <c r="CK18" s="157">
        <v>0</v>
      </c>
      <c r="CL18" s="160">
        <v>6.1428571428571432</v>
      </c>
      <c r="CM18" s="161">
        <v>0</v>
      </c>
      <c r="CN18" s="113">
        <v>11</v>
      </c>
      <c r="CO18" s="113">
        <v>6</v>
      </c>
      <c r="CP18" s="113">
        <v>7.4999999999999991</v>
      </c>
      <c r="CQ18" s="157">
        <v>0</v>
      </c>
      <c r="CR18" s="162">
        <v>7.4999999999999991</v>
      </c>
      <c r="CS18" s="163">
        <v>0</v>
      </c>
      <c r="CT18" s="113">
        <v>16</v>
      </c>
      <c r="CU18" s="113">
        <v>10.5</v>
      </c>
      <c r="CV18" s="113">
        <v>11.600000000000001</v>
      </c>
      <c r="CW18" s="157">
        <v>2</v>
      </c>
      <c r="CX18" s="113">
        <v>18</v>
      </c>
      <c r="CY18" s="113">
        <v>12.5</v>
      </c>
      <c r="CZ18" s="113">
        <v>13.6</v>
      </c>
      <c r="DA18" s="157">
        <v>2</v>
      </c>
      <c r="DB18" s="113">
        <v>20</v>
      </c>
      <c r="DC18" s="113">
        <v>4</v>
      </c>
      <c r="DD18" s="113">
        <v>7.2</v>
      </c>
      <c r="DE18" s="157">
        <v>0</v>
      </c>
      <c r="DF18" s="162">
        <v>10.800000000000002</v>
      </c>
      <c r="DG18" s="164">
        <v>6</v>
      </c>
      <c r="DH18" s="165">
        <v>8.5812500000000007</v>
      </c>
      <c r="DI18" s="166">
        <v>13</v>
      </c>
    </row>
    <row r="19" spans="1:113" s="62" customFormat="1" ht="45" customHeight="1">
      <c r="A19" s="63">
        <v>2</v>
      </c>
      <c r="B19" s="64" t="s">
        <v>38</v>
      </c>
      <c r="C19" s="55">
        <v>8.75</v>
      </c>
      <c r="D19" s="55">
        <v>2</v>
      </c>
      <c r="E19" s="55">
        <v>4.0250000000000004</v>
      </c>
      <c r="F19" s="56">
        <f t="shared" ref="F19:F31" si="1">IF(E19&gt;=10,C$14,0)</f>
        <v>0</v>
      </c>
      <c r="G19" s="55">
        <v>6.25</v>
      </c>
      <c r="H19" s="55">
        <v>2.5</v>
      </c>
      <c r="I19" s="55">
        <v>3.625</v>
      </c>
      <c r="J19" s="56">
        <f t="shared" si="0"/>
        <v>0</v>
      </c>
      <c r="K19" s="57">
        <f t="shared" ref="K19:K31" si="2">(E19*C$13+I19*G$13)/C$15</f>
        <v>3.8250000000000006</v>
      </c>
      <c r="L19" s="58">
        <f t="shared" ref="L19:L31" si="3">IF(K19&gt;=10,C$16,SUM(F19,J19))</f>
        <v>0</v>
      </c>
      <c r="M19" s="55">
        <v>18.5</v>
      </c>
      <c r="N19" s="55">
        <v>16</v>
      </c>
      <c r="O19" s="55">
        <v>16.75</v>
      </c>
      <c r="P19" s="59">
        <v>4</v>
      </c>
      <c r="Q19" s="55">
        <v>18</v>
      </c>
      <c r="R19" s="55">
        <v>16.5</v>
      </c>
      <c r="S19" s="55">
        <v>16.95</v>
      </c>
      <c r="T19" s="59">
        <v>3</v>
      </c>
      <c r="U19" s="57">
        <v>16.835714285714285</v>
      </c>
      <c r="V19" s="58">
        <v>7</v>
      </c>
      <c r="W19" s="55">
        <v>16</v>
      </c>
      <c r="X19" s="55">
        <v>11</v>
      </c>
      <c r="Y19" s="55">
        <v>12.5</v>
      </c>
      <c r="Z19" s="59">
        <v>3</v>
      </c>
      <c r="AA19" s="55">
        <v>12</v>
      </c>
      <c r="AB19" s="55">
        <v>6</v>
      </c>
      <c r="AC19" s="55">
        <v>7.7999999999999989</v>
      </c>
      <c r="AD19" s="59">
        <v>0</v>
      </c>
      <c r="AE19" s="57">
        <v>9.8142857142857132</v>
      </c>
      <c r="AF19" s="58">
        <v>3</v>
      </c>
      <c r="AG19" s="55">
        <v>18.25</v>
      </c>
      <c r="AH19" s="55">
        <v>10.5</v>
      </c>
      <c r="AI19" s="55">
        <v>12.824999999999999</v>
      </c>
      <c r="AJ19" s="59">
        <v>3</v>
      </c>
      <c r="AK19" s="55">
        <v>0</v>
      </c>
      <c r="AL19" s="55">
        <v>0</v>
      </c>
      <c r="AM19" s="55">
        <v>0</v>
      </c>
      <c r="AN19" s="59">
        <v>0</v>
      </c>
      <c r="AO19" s="57">
        <v>6.4124999999999988</v>
      </c>
      <c r="AP19" s="58">
        <v>3</v>
      </c>
      <c r="AQ19" s="55">
        <v>0</v>
      </c>
      <c r="AR19" s="55">
        <v>0</v>
      </c>
      <c r="AS19" s="55">
        <v>0</v>
      </c>
      <c r="AT19" s="59">
        <v>0</v>
      </c>
      <c r="AU19" s="55">
        <v>0</v>
      </c>
      <c r="AV19" s="55">
        <v>0</v>
      </c>
      <c r="AW19" s="55">
        <v>0</v>
      </c>
      <c r="AX19" s="59">
        <v>0</v>
      </c>
      <c r="AY19" s="57">
        <v>0</v>
      </c>
      <c r="AZ19" s="58">
        <v>0</v>
      </c>
      <c r="BA19" s="60">
        <v>8.2658333333333331</v>
      </c>
      <c r="BB19" s="61">
        <v>13</v>
      </c>
      <c r="BD19" s="167">
        <v>2</v>
      </c>
      <c r="BE19" s="168" t="s">
        <v>38</v>
      </c>
      <c r="BF19" s="113">
        <v>7.5</v>
      </c>
      <c r="BG19" s="113">
        <v>5.5</v>
      </c>
      <c r="BH19" s="113">
        <v>6.1</v>
      </c>
      <c r="BI19" s="157">
        <v>0</v>
      </c>
      <c r="BJ19" s="113">
        <v>5.125</v>
      </c>
      <c r="BK19" s="113">
        <v>0.75</v>
      </c>
      <c r="BL19" s="113">
        <v>2.0625</v>
      </c>
      <c r="BM19" s="157">
        <v>0</v>
      </c>
      <c r="BN19" s="158">
        <v>4.0812499999999998</v>
      </c>
      <c r="BO19" s="159">
        <v>0</v>
      </c>
      <c r="BP19" s="113">
        <v>17.25</v>
      </c>
      <c r="BQ19" s="113">
        <v>16</v>
      </c>
      <c r="BR19" s="113">
        <v>16.375</v>
      </c>
      <c r="BS19" s="157">
        <v>3</v>
      </c>
      <c r="BT19" s="113">
        <v>17</v>
      </c>
      <c r="BU19" s="113">
        <v>16.5</v>
      </c>
      <c r="BV19" s="113">
        <v>16.649999999999999</v>
      </c>
      <c r="BW19" s="157">
        <v>2</v>
      </c>
      <c r="BX19" s="113">
        <v>12</v>
      </c>
      <c r="BY19" s="113">
        <v>10</v>
      </c>
      <c r="BZ19" s="113">
        <v>10.6</v>
      </c>
      <c r="CA19" s="157">
        <v>2</v>
      </c>
      <c r="CB19" s="160">
        <v>14.803571428571429</v>
      </c>
      <c r="CC19" s="161">
        <v>7</v>
      </c>
      <c r="CD19" s="113">
        <v>10.416666666666666</v>
      </c>
      <c r="CE19" s="113">
        <v>5</v>
      </c>
      <c r="CF19" s="113">
        <v>6.625</v>
      </c>
      <c r="CG19" s="157">
        <v>0</v>
      </c>
      <c r="CH19" s="113">
        <v>1.5</v>
      </c>
      <c r="CI19" s="113">
        <v>2.5</v>
      </c>
      <c r="CJ19" s="113">
        <v>2.2000000000000002</v>
      </c>
      <c r="CK19" s="157">
        <v>0</v>
      </c>
      <c r="CL19" s="160">
        <v>4.0964285714285715</v>
      </c>
      <c r="CM19" s="161">
        <v>0</v>
      </c>
      <c r="CN19" s="113">
        <v>8</v>
      </c>
      <c r="CO19" s="113">
        <v>6</v>
      </c>
      <c r="CP19" s="113">
        <v>6.6</v>
      </c>
      <c r="CQ19" s="157">
        <v>0</v>
      </c>
      <c r="CR19" s="162">
        <v>6.6</v>
      </c>
      <c r="CS19" s="163">
        <v>0</v>
      </c>
      <c r="CT19" s="113">
        <v>10</v>
      </c>
      <c r="CU19" s="113">
        <v>4.5</v>
      </c>
      <c r="CV19" s="113">
        <v>5.6</v>
      </c>
      <c r="CW19" s="157">
        <v>0</v>
      </c>
      <c r="CX19" s="113">
        <v>0</v>
      </c>
      <c r="CY19" s="113">
        <v>0</v>
      </c>
      <c r="CZ19" s="113">
        <v>0</v>
      </c>
      <c r="DA19" s="157">
        <v>0</v>
      </c>
      <c r="DB19" s="113">
        <v>12.5</v>
      </c>
      <c r="DC19" s="113">
        <v>2.75</v>
      </c>
      <c r="DD19" s="113">
        <v>4.7</v>
      </c>
      <c r="DE19" s="157">
        <v>0</v>
      </c>
      <c r="DF19" s="162">
        <v>3.4333333333333336</v>
      </c>
      <c r="DG19" s="164">
        <v>0</v>
      </c>
      <c r="DH19" s="165">
        <v>6.7929166666666676</v>
      </c>
      <c r="DI19" s="166">
        <v>7</v>
      </c>
    </row>
    <row r="20" spans="1:113" s="62" customFormat="1" ht="31.8" customHeight="1">
      <c r="A20" s="53">
        <v>3</v>
      </c>
      <c r="B20" s="65" t="s">
        <v>39</v>
      </c>
      <c r="C20" s="55">
        <v>0</v>
      </c>
      <c r="D20" s="55">
        <v>0</v>
      </c>
      <c r="E20" s="55">
        <v>0</v>
      </c>
      <c r="F20" s="56">
        <f t="shared" si="1"/>
        <v>0</v>
      </c>
      <c r="G20" s="55">
        <v>0</v>
      </c>
      <c r="H20" s="55">
        <v>0</v>
      </c>
      <c r="I20" s="55">
        <v>0</v>
      </c>
      <c r="J20" s="56">
        <f t="shared" si="0"/>
        <v>0</v>
      </c>
      <c r="K20" s="57">
        <f t="shared" si="2"/>
        <v>0</v>
      </c>
      <c r="L20" s="58">
        <f t="shared" si="3"/>
        <v>0</v>
      </c>
      <c r="M20" s="55">
        <v>0</v>
      </c>
      <c r="N20" s="55">
        <v>0</v>
      </c>
      <c r="O20" s="55">
        <v>0</v>
      </c>
      <c r="P20" s="59">
        <v>0</v>
      </c>
      <c r="Q20" s="55">
        <v>0</v>
      </c>
      <c r="R20" s="55">
        <v>0</v>
      </c>
      <c r="S20" s="55">
        <v>0</v>
      </c>
      <c r="T20" s="59">
        <v>0</v>
      </c>
      <c r="U20" s="57">
        <v>0</v>
      </c>
      <c r="V20" s="58">
        <v>0</v>
      </c>
      <c r="W20" s="55">
        <v>15.75</v>
      </c>
      <c r="X20" s="55">
        <v>0</v>
      </c>
      <c r="Y20" s="55">
        <v>4.7249999999999996</v>
      </c>
      <c r="Z20" s="59">
        <v>0</v>
      </c>
      <c r="AA20" s="55">
        <v>0</v>
      </c>
      <c r="AB20" s="55">
        <v>0</v>
      </c>
      <c r="AC20" s="55">
        <v>0</v>
      </c>
      <c r="AD20" s="59">
        <v>0</v>
      </c>
      <c r="AE20" s="57">
        <v>2.0249999999999999</v>
      </c>
      <c r="AF20" s="58">
        <v>0</v>
      </c>
      <c r="AG20" s="55">
        <v>0</v>
      </c>
      <c r="AH20" s="55">
        <v>0</v>
      </c>
      <c r="AI20" s="55">
        <v>0</v>
      </c>
      <c r="AJ20" s="59">
        <v>0</v>
      </c>
      <c r="AK20" s="55">
        <v>0</v>
      </c>
      <c r="AL20" s="55">
        <v>0</v>
      </c>
      <c r="AM20" s="55">
        <v>0</v>
      </c>
      <c r="AN20" s="59">
        <v>0</v>
      </c>
      <c r="AO20" s="57">
        <v>0</v>
      </c>
      <c r="AP20" s="58">
        <v>0</v>
      </c>
      <c r="AQ20" s="55">
        <v>0</v>
      </c>
      <c r="AR20" s="55">
        <v>0</v>
      </c>
      <c r="AS20" s="55">
        <v>0</v>
      </c>
      <c r="AT20" s="59">
        <v>0</v>
      </c>
      <c r="AU20" s="55">
        <v>0</v>
      </c>
      <c r="AV20" s="55">
        <v>0</v>
      </c>
      <c r="AW20" s="55">
        <v>0</v>
      </c>
      <c r="AX20" s="59">
        <v>0</v>
      </c>
      <c r="AY20" s="57">
        <v>0</v>
      </c>
      <c r="AZ20" s="58">
        <v>0</v>
      </c>
      <c r="BA20" s="60">
        <v>0.47249999999999998</v>
      </c>
      <c r="BB20" s="61">
        <v>0</v>
      </c>
      <c r="BD20" s="155">
        <v>3</v>
      </c>
      <c r="BE20" s="169" t="s">
        <v>39</v>
      </c>
      <c r="BF20" s="113">
        <v>2.5</v>
      </c>
      <c r="BG20" s="113">
        <v>0</v>
      </c>
      <c r="BH20" s="113">
        <v>0.75</v>
      </c>
      <c r="BI20" s="157">
        <v>0</v>
      </c>
      <c r="BJ20" s="113">
        <v>0</v>
      </c>
      <c r="BK20" s="113">
        <v>0</v>
      </c>
      <c r="BL20" s="113">
        <v>0</v>
      </c>
      <c r="BM20" s="157">
        <v>0</v>
      </c>
      <c r="BN20" s="158">
        <v>0.375</v>
      </c>
      <c r="BO20" s="159">
        <v>0</v>
      </c>
      <c r="BP20" s="113">
        <v>5</v>
      </c>
      <c r="BQ20" s="113">
        <v>0</v>
      </c>
      <c r="BR20" s="113">
        <v>1.5</v>
      </c>
      <c r="BS20" s="157">
        <v>0</v>
      </c>
      <c r="BT20" s="113">
        <v>0</v>
      </c>
      <c r="BU20" s="113">
        <v>0</v>
      </c>
      <c r="BV20" s="113">
        <v>0</v>
      </c>
      <c r="BW20" s="157">
        <v>0</v>
      </c>
      <c r="BX20" s="113">
        <v>0</v>
      </c>
      <c r="BY20" s="113">
        <v>0</v>
      </c>
      <c r="BZ20" s="113">
        <v>0</v>
      </c>
      <c r="CA20" s="157">
        <v>0</v>
      </c>
      <c r="CB20" s="160">
        <v>0.6428571428571429</v>
      </c>
      <c r="CC20" s="161">
        <v>0</v>
      </c>
      <c r="CD20" s="113">
        <v>0</v>
      </c>
      <c r="CE20" s="113">
        <v>0</v>
      </c>
      <c r="CF20" s="113">
        <v>0</v>
      </c>
      <c r="CG20" s="157">
        <v>0</v>
      </c>
      <c r="CH20" s="113">
        <v>0</v>
      </c>
      <c r="CI20" s="113">
        <v>0</v>
      </c>
      <c r="CJ20" s="113">
        <v>0</v>
      </c>
      <c r="CK20" s="157">
        <v>0</v>
      </c>
      <c r="CL20" s="160">
        <v>0</v>
      </c>
      <c r="CM20" s="161">
        <v>0</v>
      </c>
      <c r="CN20" s="113">
        <v>0</v>
      </c>
      <c r="CO20" s="113">
        <v>0</v>
      </c>
      <c r="CP20" s="113">
        <v>0</v>
      </c>
      <c r="CQ20" s="157">
        <v>0</v>
      </c>
      <c r="CR20" s="162">
        <v>0</v>
      </c>
      <c r="CS20" s="163">
        <v>0</v>
      </c>
      <c r="CT20" s="113">
        <v>0</v>
      </c>
      <c r="CU20" s="113">
        <v>0</v>
      </c>
      <c r="CV20" s="113">
        <v>0</v>
      </c>
      <c r="CW20" s="157">
        <v>0</v>
      </c>
      <c r="CX20" s="113">
        <v>0</v>
      </c>
      <c r="CY20" s="113">
        <v>0</v>
      </c>
      <c r="CZ20" s="113">
        <v>0</v>
      </c>
      <c r="DA20" s="157">
        <v>0</v>
      </c>
      <c r="DB20" s="113">
        <v>0</v>
      </c>
      <c r="DC20" s="113">
        <v>0</v>
      </c>
      <c r="DD20" s="113">
        <v>0</v>
      </c>
      <c r="DE20" s="157">
        <v>0</v>
      </c>
      <c r="DF20" s="162">
        <v>0</v>
      </c>
      <c r="DG20" s="164">
        <v>0</v>
      </c>
      <c r="DH20" s="165">
        <v>0.22500000000000001</v>
      </c>
      <c r="DI20" s="166">
        <v>0</v>
      </c>
    </row>
    <row r="21" spans="1:113" s="62" customFormat="1" ht="37.799999999999997" customHeight="1">
      <c r="A21" s="63">
        <v>4</v>
      </c>
      <c r="B21" s="64" t="s">
        <v>40</v>
      </c>
      <c r="C21" s="55">
        <v>6.25</v>
      </c>
      <c r="D21" s="55">
        <v>2</v>
      </c>
      <c r="E21" s="55">
        <v>3.2749999999999999</v>
      </c>
      <c r="F21" s="56">
        <f t="shared" si="1"/>
        <v>0</v>
      </c>
      <c r="G21" s="55">
        <v>13.125</v>
      </c>
      <c r="H21" s="55">
        <v>7</v>
      </c>
      <c r="I21" s="55">
        <v>8.8374999999999986</v>
      </c>
      <c r="J21" s="56">
        <f t="shared" si="0"/>
        <v>0</v>
      </c>
      <c r="K21" s="57">
        <f t="shared" si="2"/>
        <v>6.0562499999999986</v>
      </c>
      <c r="L21" s="58">
        <f t="shared" si="3"/>
        <v>0</v>
      </c>
      <c r="M21" s="55">
        <v>18.5</v>
      </c>
      <c r="N21" s="55">
        <v>18</v>
      </c>
      <c r="O21" s="55">
        <v>18.149999999999999</v>
      </c>
      <c r="P21" s="59">
        <v>4</v>
      </c>
      <c r="Q21" s="55">
        <v>18.25</v>
      </c>
      <c r="R21" s="55">
        <v>17.5</v>
      </c>
      <c r="S21" s="55">
        <v>17.725000000000001</v>
      </c>
      <c r="T21" s="59">
        <v>3</v>
      </c>
      <c r="U21" s="57">
        <v>17.967857142857145</v>
      </c>
      <c r="V21" s="58">
        <v>7</v>
      </c>
      <c r="W21" s="55">
        <v>16</v>
      </c>
      <c r="X21" s="55">
        <v>14.5</v>
      </c>
      <c r="Y21" s="55">
        <v>14.95</v>
      </c>
      <c r="Z21" s="59">
        <v>3</v>
      </c>
      <c r="AA21" s="55">
        <v>17</v>
      </c>
      <c r="AB21" s="55">
        <v>10</v>
      </c>
      <c r="AC21" s="55">
        <v>12.1</v>
      </c>
      <c r="AD21" s="59">
        <v>4</v>
      </c>
      <c r="AE21" s="57">
        <v>13.321428571428571</v>
      </c>
      <c r="AF21" s="58">
        <v>7</v>
      </c>
      <c r="AG21" s="55">
        <v>18</v>
      </c>
      <c r="AH21" s="55">
        <v>13</v>
      </c>
      <c r="AI21" s="55">
        <v>14.5</v>
      </c>
      <c r="AJ21" s="59">
        <v>3</v>
      </c>
      <c r="AK21" s="55">
        <v>13.75</v>
      </c>
      <c r="AL21" s="55">
        <v>11.83</v>
      </c>
      <c r="AM21" s="55">
        <v>12.405999999999999</v>
      </c>
      <c r="AN21" s="59">
        <v>3</v>
      </c>
      <c r="AO21" s="57">
        <v>13.452999999999998</v>
      </c>
      <c r="AP21" s="58">
        <v>6</v>
      </c>
      <c r="AQ21" s="55">
        <v>17</v>
      </c>
      <c r="AR21" s="55">
        <v>15.75</v>
      </c>
      <c r="AS21" s="55">
        <v>16</v>
      </c>
      <c r="AT21" s="59">
        <v>2</v>
      </c>
      <c r="AU21" s="55">
        <v>0</v>
      </c>
      <c r="AV21" s="55">
        <v>9.5</v>
      </c>
      <c r="AW21" s="55">
        <v>7.6000000000000005</v>
      </c>
      <c r="AX21" s="59">
        <v>0</v>
      </c>
      <c r="AY21" s="57">
        <v>11.8</v>
      </c>
      <c r="AZ21" s="58">
        <v>4</v>
      </c>
      <c r="BA21" s="60">
        <v>12.776016666666667</v>
      </c>
      <c r="BB21" s="61">
        <v>24</v>
      </c>
      <c r="BD21" s="167">
        <v>4</v>
      </c>
      <c r="BE21" s="168" t="s">
        <v>40</v>
      </c>
      <c r="BF21" s="113">
        <v>4.25</v>
      </c>
      <c r="BG21" s="113">
        <v>6</v>
      </c>
      <c r="BH21" s="113">
        <v>5.4749999999999996</v>
      </c>
      <c r="BI21" s="157">
        <v>0</v>
      </c>
      <c r="BJ21" s="113">
        <v>10</v>
      </c>
      <c r="BK21" s="113">
        <v>2.75</v>
      </c>
      <c r="BL21" s="113">
        <v>4.9249999999999998</v>
      </c>
      <c r="BM21" s="157">
        <v>0</v>
      </c>
      <c r="BN21" s="158">
        <v>5.1999999999999993</v>
      </c>
      <c r="BO21" s="159">
        <v>0</v>
      </c>
      <c r="BP21" s="113">
        <v>17.5</v>
      </c>
      <c r="BQ21" s="113">
        <v>17</v>
      </c>
      <c r="BR21" s="113">
        <v>17.149999999999999</v>
      </c>
      <c r="BS21" s="157">
        <v>3</v>
      </c>
      <c r="BT21" s="113">
        <v>18</v>
      </c>
      <c r="BU21" s="113">
        <v>15.5</v>
      </c>
      <c r="BV21" s="113">
        <v>16.25</v>
      </c>
      <c r="BW21" s="157">
        <v>2</v>
      </c>
      <c r="BX21" s="113">
        <v>18</v>
      </c>
      <c r="BY21" s="113">
        <v>16</v>
      </c>
      <c r="BZ21" s="113">
        <v>16.599999999999998</v>
      </c>
      <c r="CA21" s="157">
        <v>2</v>
      </c>
      <c r="CB21" s="160">
        <v>16.735714285714284</v>
      </c>
      <c r="CC21" s="161">
        <v>7</v>
      </c>
      <c r="CD21" s="113">
        <v>11.25</v>
      </c>
      <c r="CE21" s="113">
        <v>11.25</v>
      </c>
      <c r="CF21" s="113">
        <v>11.25</v>
      </c>
      <c r="CG21" s="157">
        <v>3</v>
      </c>
      <c r="CH21" s="113">
        <v>3.875</v>
      </c>
      <c r="CI21" s="113">
        <v>5.5</v>
      </c>
      <c r="CJ21" s="113">
        <v>5.0124999999999993</v>
      </c>
      <c r="CK21" s="157">
        <v>0</v>
      </c>
      <c r="CL21" s="160">
        <v>7.6857142857142851</v>
      </c>
      <c r="CM21" s="161">
        <v>3</v>
      </c>
      <c r="CN21" s="113">
        <v>13.333333333333334</v>
      </c>
      <c r="CO21" s="113">
        <v>0</v>
      </c>
      <c r="CP21" s="113">
        <v>4</v>
      </c>
      <c r="CQ21" s="157">
        <v>0</v>
      </c>
      <c r="CR21" s="162">
        <v>4</v>
      </c>
      <c r="CS21" s="163">
        <v>0</v>
      </c>
      <c r="CT21" s="113">
        <v>10</v>
      </c>
      <c r="CU21" s="113">
        <v>14</v>
      </c>
      <c r="CV21" s="113">
        <v>13.200000000000001</v>
      </c>
      <c r="CW21" s="157">
        <v>2</v>
      </c>
      <c r="CX21" s="113">
        <v>3</v>
      </c>
      <c r="CY21" s="113">
        <v>7</v>
      </c>
      <c r="CZ21" s="113">
        <v>6.2000000000000011</v>
      </c>
      <c r="DA21" s="157">
        <v>0</v>
      </c>
      <c r="DB21" s="113">
        <v>10</v>
      </c>
      <c r="DC21" s="113">
        <v>4.5</v>
      </c>
      <c r="DD21" s="113">
        <v>5.6</v>
      </c>
      <c r="DE21" s="157">
        <v>0</v>
      </c>
      <c r="DF21" s="162">
        <v>8.3333333333333339</v>
      </c>
      <c r="DG21" s="164">
        <v>2</v>
      </c>
      <c r="DH21" s="165">
        <v>8.9383333333333326</v>
      </c>
      <c r="DI21" s="166">
        <v>12</v>
      </c>
    </row>
    <row r="22" spans="1:113" s="62" customFormat="1" ht="31.8" customHeight="1">
      <c r="A22" s="53">
        <v>5</v>
      </c>
      <c r="B22" s="65" t="s">
        <v>41</v>
      </c>
      <c r="C22" s="55">
        <v>3.75</v>
      </c>
      <c r="D22" s="55">
        <v>2.5</v>
      </c>
      <c r="E22" s="55">
        <v>2.875</v>
      </c>
      <c r="F22" s="56">
        <f t="shared" si="1"/>
        <v>0</v>
      </c>
      <c r="G22" s="55">
        <v>6.25</v>
      </c>
      <c r="H22" s="55">
        <v>3.5</v>
      </c>
      <c r="I22" s="55">
        <v>4.3249999999999993</v>
      </c>
      <c r="J22" s="56">
        <f t="shared" si="0"/>
        <v>0</v>
      </c>
      <c r="K22" s="57">
        <f t="shared" si="2"/>
        <v>3.5999999999999996</v>
      </c>
      <c r="L22" s="58">
        <f t="shared" si="3"/>
        <v>0</v>
      </c>
      <c r="M22" s="55">
        <v>18.5</v>
      </c>
      <c r="N22" s="55">
        <v>15</v>
      </c>
      <c r="O22" s="55">
        <v>16.05</v>
      </c>
      <c r="P22" s="59">
        <v>4</v>
      </c>
      <c r="Q22" s="55">
        <v>18</v>
      </c>
      <c r="R22" s="55">
        <v>17.5</v>
      </c>
      <c r="S22" s="55">
        <v>17.649999999999999</v>
      </c>
      <c r="T22" s="59">
        <v>3</v>
      </c>
      <c r="U22" s="57">
        <v>16.735714285714288</v>
      </c>
      <c r="V22" s="58">
        <v>7</v>
      </c>
      <c r="W22" s="55">
        <v>15.5</v>
      </c>
      <c r="X22" s="55">
        <v>14</v>
      </c>
      <c r="Y22" s="55">
        <v>14.45</v>
      </c>
      <c r="Z22" s="59">
        <v>3</v>
      </c>
      <c r="AA22" s="55">
        <v>12</v>
      </c>
      <c r="AB22" s="55">
        <v>2</v>
      </c>
      <c r="AC22" s="55">
        <v>5</v>
      </c>
      <c r="AD22" s="59">
        <v>0</v>
      </c>
      <c r="AE22" s="57">
        <v>9.0499999999999989</v>
      </c>
      <c r="AF22" s="58">
        <v>3</v>
      </c>
      <c r="AG22" s="55">
        <v>13.75</v>
      </c>
      <c r="AH22" s="55">
        <v>2.5</v>
      </c>
      <c r="AI22" s="55">
        <v>5.875</v>
      </c>
      <c r="AJ22" s="59">
        <v>0</v>
      </c>
      <c r="AK22" s="55">
        <v>13.65</v>
      </c>
      <c r="AL22" s="55">
        <v>5.5</v>
      </c>
      <c r="AM22" s="55">
        <v>7.9449999999999994</v>
      </c>
      <c r="AN22" s="59">
        <v>0</v>
      </c>
      <c r="AO22" s="57">
        <v>6.9099999999999993</v>
      </c>
      <c r="AP22" s="58">
        <v>0</v>
      </c>
      <c r="AQ22" s="55">
        <v>16</v>
      </c>
      <c r="AR22" s="55">
        <v>14.5</v>
      </c>
      <c r="AS22" s="55">
        <v>14.8</v>
      </c>
      <c r="AT22" s="59">
        <v>2</v>
      </c>
      <c r="AU22" s="55">
        <v>10</v>
      </c>
      <c r="AV22" s="55">
        <v>8.75</v>
      </c>
      <c r="AW22" s="55">
        <v>9</v>
      </c>
      <c r="AX22" s="59">
        <v>0</v>
      </c>
      <c r="AY22" s="57">
        <v>11.9</v>
      </c>
      <c r="AZ22" s="58">
        <v>4</v>
      </c>
      <c r="BA22" s="60">
        <v>9.7053333333333338</v>
      </c>
      <c r="BB22" s="61">
        <v>14</v>
      </c>
      <c r="BD22" s="155">
        <v>5</v>
      </c>
      <c r="BE22" s="169" t="s">
        <v>41</v>
      </c>
      <c r="BF22" s="113">
        <v>4.25</v>
      </c>
      <c r="BG22" s="113">
        <v>6</v>
      </c>
      <c r="BH22" s="113">
        <v>5.4749999999999996</v>
      </c>
      <c r="BI22" s="157">
        <v>0</v>
      </c>
      <c r="BJ22" s="113">
        <v>8.125</v>
      </c>
      <c r="BK22" s="113">
        <v>2.25</v>
      </c>
      <c r="BL22" s="113">
        <v>4.0125000000000002</v>
      </c>
      <c r="BM22" s="157">
        <v>0</v>
      </c>
      <c r="BN22" s="158">
        <v>4.7437499999999995</v>
      </c>
      <c r="BO22" s="159">
        <v>0</v>
      </c>
      <c r="BP22" s="113">
        <v>17</v>
      </c>
      <c r="BQ22" s="113">
        <v>14.5</v>
      </c>
      <c r="BR22" s="113">
        <v>15.249999999999998</v>
      </c>
      <c r="BS22" s="157">
        <v>3</v>
      </c>
      <c r="BT22" s="113">
        <v>17.5</v>
      </c>
      <c r="BU22" s="113">
        <v>16.5</v>
      </c>
      <c r="BV22" s="113">
        <v>16.799999999999997</v>
      </c>
      <c r="BW22" s="157">
        <v>2</v>
      </c>
      <c r="BX22" s="113">
        <v>15.5</v>
      </c>
      <c r="BY22" s="113">
        <v>17</v>
      </c>
      <c r="BZ22" s="113">
        <v>16.549999999999997</v>
      </c>
      <c r="CA22" s="157">
        <v>2</v>
      </c>
      <c r="CB22" s="160">
        <v>16.064285714285713</v>
      </c>
      <c r="CC22" s="161">
        <v>7</v>
      </c>
      <c r="CD22" s="113">
        <v>12.416666666666666</v>
      </c>
      <c r="CE22" s="113">
        <v>5.5</v>
      </c>
      <c r="CF22" s="113">
        <v>7.5749999999999993</v>
      </c>
      <c r="CG22" s="157">
        <v>0</v>
      </c>
      <c r="CH22" s="113">
        <v>2.875</v>
      </c>
      <c r="CI22" s="113">
        <v>2.75</v>
      </c>
      <c r="CJ22" s="113">
        <v>2.7874999999999996</v>
      </c>
      <c r="CK22" s="157">
        <v>0</v>
      </c>
      <c r="CL22" s="160">
        <v>4.8392857142857144</v>
      </c>
      <c r="CM22" s="161">
        <v>0</v>
      </c>
      <c r="CN22" s="113">
        <v>11.666666666666666</v>
      </c>
      <c r="CO22" s="113">
        <v>13</v>
      </c>
      <c r="CP22" s="113">
        <v>12.6</v>
      </c>
      <c r="CQ22" s="157">
        <v>4</v>
      </c>
      <c r="CR22" s="162">
        <v>12.6</v>
      </c>
      <c r="CS22" s="163">
        <v>4</v>
      </c>
      <c r="CT22" s="113">
        <v>9</v>
      </c>
      <c r="CU22" s="113">
        <v>13.75</v>
      </c>
      <c r="CV22" s="113">
        <v>12.8</v>
      </c>
      <c r="CW22" s="157">
        <v>2</v>
      </c>
      <c r="CX22" s="113">
        <v>3</v>
      </c>
      <c r="CY22" s="113">
        <v>10.25</v>
      </c>
      <c r="CZ22" s="113">
        <v>8.8000000000000007</v>
      </c>
      <c r="DA22" s="157">
        <v>0</v>
      </c>
      <c r="DB22" s="113">
        <v>10</v>
      </c>
      <c r="DC22" s="113">
        <v>2</v>
      </c>
      <c r="DD22" s="113">
        <v>3.6</v>
      </c>
      <c r="DE22" s="157">
        <v>0</v>
      </c>
      <c r="DF22" s="162">
        <v>8.4</v>
      </c>
      <c r="DG22" s="164">
        <v>2</v>
      </c>
      <c r="DH22" s="165">
        <v>9.1862499999999994</v>
      </c>
      <c r="DI22" s="166">
        <v>13</v>
      </c>
    </row>
    <row r="23" spans="1:113" s="62" customFormat="1" ht="31.8" customHeight="1">
      <c r="A23" s="63">
        <v>6</v>
      </c>
      <c r="B23" s="64" t="s">
        <v>42</v>
      </c>
      <c r="C23" s="55">
        <v>4</v>
      </c>
      <c r="D23" s="55">
        <v>5.5</v>
      </c>
      <c r="E23" s="55">
        <v>5.05</v>
      </c>
      <c r="F23" s="56">
        <f t="shared" si="1"/>
        <v>0</v>
      </c>
      <c r="G23" s="55">
        <v>5.625</v>
      </c>
      <c r="H23" s="55">
        <v>1.5</v>
      </c>
      <c r="I23" s="55">
        <v>2.7374999999999998</v>
      </c>
      <c r="J23" s="56">
        <f t="shared" si="0"/>
        <v>0</v>
      </c>
      <c r="K23" s="57">
        <f t="shared" si="2"/>
        <v>3.8937499999999994</v>
      </c>
      <c r="L23" s="58">
        <f t="shared" si="3"/>
        <v>0</v>
      </c>
      <c r="M23" s="55">
        <v>17</v>
      </c>
      <c r="N23" s="55">
        <v>17.5</v>
      </c>
      <c r="O23" s="55">
        <v>17.350000000000001</v>
      </c>
      <c r="P23" s="59">
        <v>4</v>
      </c>
      <c r="Q23" s="55">
        <v>14.5</v>
      </c>
      <c r="R23" s="55">
        <v>17.5</v>
      </c>
      <c r="S23" s="55">
        <v>16.600000000000001</v>
      </c>
      <c r="T23" s="59">
        <v>3</v>
      </c>
      <c r="U23" s="57">
        <v>17.028571428571432</v>
      </c>
      <c r="V23" s="58">
        <v>7</v>
      </c>
      <c r="W23" s="55">
        <v>14</v>
      </c>
      <c r="X23" s="55">
        <v>13.5</v>
      </c>
      <c r="Y23" s="55">
        <v>13.649999999999999</v>
      </c>
      <c r="Z23" s="59">
        <v>3</v>
      </c>
      <c r="AA23" s="55">
        <v>11</v>
      </c>
      <c r="AB23" s="55">
        <v>8.5</v>
      </c>
      <c r="AC23" s="55">
        <v>9.25</v>
      </c>
      <c r="AD23" s="59">
        <v>0</v>
      </c>
      <c r="AE23" s="57">
        <v>11.135714285714284</v>
      </c>
      <c r="AF23" s="58">
        <v>7</v>
      </c>
      <c r="AG23" s="55">
        <v>0</v>
      </c>
      <c r="AH23" s="55">
        <v>5.5</v>
      </c>
      <c r="AI23" s="55">
        <v>3.8499999999999996</v>
      </c>
      <c r="AJ23" s="59">
        <v>0</v>
      </c>
      <c r="AK23" s="55">
        <v>11.1</v>
      </c>
      <c r="AL23" s="55">
        <v>6.1749999999999998</v>
      </c>
      <c r="AM23" s="55">
        <v>7.6524999999999999</v>
      </c>
      <c r="AN23" s="59">
        <v>0</v>
      </c>
      <c r="AO23" s="57">
        <v>5.7512499999999998</v>
      </c>
      <c r="AP23" s="58">
        <v>0</v>
      </c>
      <c r="AQ23" s="55">
        <v>13</v>
      </c>
      <c r="AR23" s="55">
        <v>7.75</v>
      </c>
      <c r="AS23" s="55">
        <v>8.8000000000000007</v>
      </c>
      <c r="AT23" s="59">
        <v>0</v>
      </c>
      <c r="AU23" s="55">
        <v>18</v>
      </c>
      <c r="AV23" s="55">
        <v>16</v>
      </c>
      <c r="AW23" s="55">
        <v>16.400000000000002</v>
      </c>
      <c r="AX23" s="59">
        <v>2</v>
      </c>
      <c r="AY23" s="57">
        <v>12.600000000000001</v>
      </c>
      <c r="AZ23" s="58">
        <v>4</v>
      </c>
      <c r="BA23" s="60">
        <v>10.180666666666665</v>
      </c>
      <c r="BB23" s="61">
        <v>18</v>
      </c>
      <c r="BD23" s="167">
        <v>6</v>
      </c>
      <c r="BE23" s="168" t="s">
        <v>42</v>
      </c>
      <c r="BF23" s="113">
        <v>3.25</v>
      </c>
      <c r="BG23" s="113">
        <v>2.5</v>
      </c>
      <c r="BH23" s="113">
        <v>2.7250000000000001</v>
      </c>
      <c r="BI23" s="157">
        <v>0</v>
      </c>
      <c r="BJ23" s="113">
        <v>7.75</v>
      </c>
      <c r="BK23" s="113">
        <v>0</v>
      </c>
      <c r="BL23" s="113">
        <v>2.3249999999999997</v>
      </c>
      <c r="BM23" s="157">
        <v>0</v>
      </c>
      <c r="BN23" s="158">
        <v>2.5249999999999999</v>
      </c>
      <c r="BO23" s="159">
        <v>0</v>
      </c>
      <c r="BP23" s="113">
        <v>15</v>
      </c>
      <c r="BQ23" s="113" t="s">
        <v>81</v>
      </c>
      <c r="BR23" s="113">
        <v>16.049999999999997</v>
      </c>
      <c r="BS23" s="157">
        <v>3</v>
      </c>
      <c r="BT23" s="113">
        <v>16</v>
      </c>
      <c r="BU23" s="113" t="s">
        <v>82</v>
      </c>
      <c r="BV23" s="113">
        <v>15.649999999999999</v>
      </c>
      <c r="BW23" s="157">
        <v>2</v>
      </c>
      <c r="BX23" s="113">
        <v>7</v>
      </c>
      <c r="BY23" s="113">
        <v>10</v>
      </c>
      <c r="BZ23" s="113">
        <v>9.1</v>
      </c>
      <c r="CA23" s="157">
        <v>0</v>
      </c>
      <c r="CB23" s="160">
        <v>13.95</v>
      </c>
      <c r="CC23" s="161">
        <v>7</v>
      </c>
      <c r="CD23" s="113">
        <v>8.6666666666666661</v>
      </c>
      <c r="CE23" s="113">
        <v>9.75</v>
      </c>
      <c r="CF23" s="113">
        <v>9.4249999999999989</v>
      </c>
      <c r="CG23" s="157">
        <v>0</v>
      </c>
      <c r="CH23" s="113">
        <v>3.125</v>
      </c>
      <c r="CI23" s="113">
        <v>3.5</v>
      </c>
      <c r="CJ23" s="113">
        <v>3.3874999999999997</v>
      </c>
      <c r="CK23" s="157">
        <v>0</v>
      </c>
      <c r="CL23" s="160">
        <v>5.9749999999999996</v>
      </c>
      <c r="CM23" s="161">
        <v>0</v>
      </c>
      <c r="CN23" s="113">
        <v>14.666666666666666</v>
      </c>
      <c r="CO23" s="113">
        <v>0</v>
      </c>
      <c r="CP23" s="113">
        <v>4.3999999999999995</v>
      </c>
      <c r="CQ23" s="157">
        <v>0</v>
      </c>
      <c r="CR23" s="162">
        <v>4.3999999999999995</v>
      </c>
      <c r="CS23" s="163">
        <v>0</v>
      </c>
      <c r="CT23" s="113">
        <v>8</v>
      </c>
      <c r="CU23" s="113">
        <v>12.5</v>
      </c>
      <c r="CV23" s="113">
        <v>11.6</v>
      </c>
      <c r="CW23" s="157">
        <v>2</v>
      </c>
      <c r="CX23" s="113">
        <v>4</v>
      </c>
      <c r="CY23" s="113">
        <v>7.5</v>
      </c>
      <c r="CZ23" s="113">
        <v>6.8</v>
      </c>
      <c r="DA23" s="157">
        <v>0</v>
      </c>
      <c r="DB23" s="113">
        <v>7.5</v>
      </c>
      <c r="DC23" s="113">
        <v>3.75</v>
      </c>
      <c r="DD23" s="113">
        <v>4.5</v>
      </c>
      <c r="DE23" s="157">
        <v>0</v>
      </c>
      <c r="DF23" s="162">
        <v>7.6333333333333329</v>
      </c>
      <c r="DG23" s="164">
        <v>2</v>
      </c>
      <c r="DH23" s="165">
        <v>7.2675000000000001</v>
      </c>
      <c r="DI23" s="166">
        <v>9</v>
      </c>
    </row>
    <row r="24" spans="1:113" s="62" customFormat="1" ht="31.8" customHeight="1">
      <c r="A24" s="53">
        <v>7</v>
      </c>
      <c r="B24" s="65" t="s">
        <v>43</v>
      </c>
      <c r="C24" s="55">
        <v>9.75</v>
      </c>
      <c r="D24" s="55">
        <v>4.5</v>
      </c>
      <c r="E24" s="55">
        <v>6.0749999999999993</v>
      </c>
      <c r="F24" s="56">
        <f t="shared" si="1"/>
        <v>0</v>
      </c>
      <c r="G24" s="55">
        <v>9.5</v>
      </c>
      <c r="H24" s="55">
        <v>2.5</v>
      </c>
      <c r="I24" s="55">
        <v>4.5999999999999996</v>
      </c>
      <c r="J24" s="56">
        <f t="shared" si="0"/>
        <v>0</v>
      </c>
      <c r="K24" s="57">
        <f t="shared" si="2"/>
        <v>5.3374999999999995</v>
      </c>
      <c r="L24" s="58">
        <f t="shared" si="3"/>
        <v>0</v>
      </c>
      <c r="M24" s="55">
        <v>16.75</v>
      </c>
      <c r="N24" s="55">
        <v>15.5</v>
      </c>
      <c r="O24" s="55">
        <v>15.875</v>
      </c>
      <c r="P24" s="59">
        <v>4</v>
      </c>
      <c r="Q24" s="55">
        <v>16</v>
      </c>
      <c r="R24" s="55">
        <v>14.5</v>
      </c>
      <c r="S24" s="55">
        <v>14.95</v>
      </c>
      <c r="T24" s="59">
        <v>3</v>
      </c>
      <c r="U24" s="57">
        <v>15.478571428571428</v>
      </c>
      <c r="V24" s="58">
        <v>7</v>
      </c>
      <c r="W24" s="55">
        <v>15.25</v>
      </c>
      <c r="X24" s="55">
        <v>14</v>
      </c>
      <c r="Y24" s="55">
        <v>14.375</v>
      </c>
      <c r="Z24" s="59">
        <v>3</v>
      </c>
      <c r="AA24" s="55">
        <v>15.333333333333334</v>
      </c>
      <c r="AB24" s="55">
        <v>10</v>
      </c>
      <c r="AC24" s="55">
        <v>11.6</v>
      </c>
      <c r="AD24" s="59">
        <v>4</v>
      </c>
      <c r="AE24" s="57">
        <v>12.789285714285715</v>
      </c>
      <c r="AF24" s="58">
        <v>7</v>
      </c>
      <c r="AG24" s="55">
        <v>13.75</v>
      </c>
      <c r="AH24" s="55">
        <v>3.5</v>
      </c>
      <c r="AI24" s="55">
        <v>6.5749999999999993</v>
      </c>
      <c r="AJ24" s="59">
        <v>0</v>
      </c>
      <c r="AK24" s="55">
        <v>12.5</v>
      </c>
      <c r="AL24" s="55">
        <v>9.9499999999999993</v>
      </c>
      <c r="AM24" s="55">
        <v>10.715</v>
      </c>
      <c r="AN24" s="59">
        <v>3</v>
      </c>
      <c r="AO24" s="57">
        <v>8.6449999999999978</v>
      </c>
      <c r="AP24" s="58">
        <v>3</v>
      </c>
      <c r="AQ24" s="55">
        <v>12</v>
      </c>
      <c r="AR24" s="55">
        <v>9.5</v>
      </c>
      <c r="AS24" s="55">
        <v>10</v>
      </c>
      <c r="AT24" s="59">
        <v>2</v>
      </c>
      <c r="AU24" s="55">
        <v>8</v>
      </c>
      <c r="AV24" s="55">
        <v>11.25</v>
      </c>
      <c r="AW24" s="55">
        <v>10.6</v>
      </c>
      <c r="AX24" s="59">
        <v>2</v>
      </c>
      <c r="AY24" s="57">
        <v>10.3</v>
      </c>
      <c r="AZ24" s="58">
        <v>4</v>
      </c>
      <c r="BA24" s="60">
        <v>10.765666666666666</v>
      </c>
      <c r="BB24" s="61">
        <v>21</v>
      </c>
      <c r="BD24" s="155">
        <v>7</v>
      </c>
      <c r="BE24" s="169" t="s">
        <v>43</v>
      </c>
      <c r="BF24" s="113">
        <v>3.25</v>
      </c>
      <c r="BG24" s="113">
        <v>1</v>
      </c>
      <c r="BH24" s="113">
        <v>1.6749999999999998</v>
      </c>
      <c r="BI24" s="157">
        <v>0</v>
      </c>
      <c r="BJ24" s="113">
        <v>7.625</v>
      </c>
      <c r="BK24" s="113">
        <v>1.25</v>
      </c>
      <c r="BL24" s="113">
        <v>3.1625000000000001</v>
      </c>
      <c r="BM24" s="157">
        <v>0</v>
      </c>
      <c r="BN24" s="158">
        <v>2.4187499999999997</v>
      </c>
      <c r="BO24" s="159">
        <v>0</v>
      </c>
      <c r="BP24" s="113">
        <v>16.5</v>
      </c>
      <c r="BQ24" s="113">
        <v>16.5</v>
      </c>
      <c r="BR24" s="113">
        <v>16.5</v>
      </c>
      <c r="BS24" s="157">
        <v>3</v>
      </c>
      <c r="BT24" s="113">
        <v>15.75</v>
      </c>
      <c r="BU24" s="113">
        <v>16</v>
      </c>
      <c r="BV24" s="113">
        <v>15.924999999999999</v>
      </c>
      <c r="BW24" s="157">
        <v>2</v>
      </c>
      <c r="BX24" s="113">
        <v>15</v>
      </c>
      <c r="BY24" s="113">
        <v>5</v>
      </c>
      <c r="BZ24" s="113">
        <v>8</v>
      </c>
      <c r="CA24" s="157">
        <v>0</v>
      </c>
      <c r="CB24" s="160">
        <v>13.907142857142857</v>
      </c>
      <c r="CC24" s="161">
        <v>7</v>
      </c>
      <c r="CD24" s="113">
        <v>12.583333333333334</v>
      </c>
      <c r="CE24" s="113">
        <v>8.5</v>
      </c>
      <c r="CF24" s="113">
        <v>9.7249999999999996</v>
      </c>
      <c r="CG24" s="157">
        <v>0</v>
      </c>
      <c r="CH24" s="113">
        <v>3.75</v>
      </c>
      <c r="CI24" s="113">
        <v>1.75</v>
      </c>
      <c r="CJ24" s="113">
        <v>2.3499999999999996</v>
      </c>
      <c r="CK24" s="157">
        <v>0</v>
      </c>
      <c r="CL24" s="160">
        <v>5.5107142857142852</v>
      </c>
      <c r="CM24" s="161">
        <v>0</v>
      </c>
      <c r="CN24" s="113">
        <v>7</v>
      </c>
      <c r="CO24" s="113">
        <v>8</v>
      </c>
      <c r="CP24" s="113">
        <v>7.6999999999999993</v>
      </c>
      <c r="CQ24" s="157">
        <v>0</v>
      </c>
      <c r="CR24" s="162">
        <v>7.6999999999999993</v>
      </c>
      <c r="CS24" s="163">
        <v>0</v>
      </c>
      <c r="CT24" s="113">
        <v>14</v>
      </c>
      <c r="CU24" s="113">
        <v>12.25</v>
      </c>
      <c r="CV24" s="113">
        <v>12.600000000000001</v>
      </c>
      <c r="CW24" s="157">
        <v>2</v>
      </c>
      <c r="CX24" s="113">
        <v>16</v>
      </c>
      <c r="CY24" s="113">
        <v>12</v>
      </c>
      <c r="CZ24" s="113">
        <v>12.8</v>
      </c>
      <c r="DA24" s="157">
        <v>2</v>
      </c>
      <c r="DB24" s="113">
        <v>15</v>
      </c>
      <c r="DC24" s="113">
        <v>0</v>
      </c>
      <c r="DD24" s="113">
        <v>3</v>
      </c>
      <c r="DE24" s="157">
        <v>0</v>
      </c>
      <c r="DF24" s="162">
        <v>9.4666666666666668</v>
      </c>
      <c r="DG24" s="164">
        <v>4</v>
      </c>
      <c r="DH24" s="165">
        <v>7.9345833333333324</v>
      </c>
      <c r="DI24" s="166">
        <v>11</v>
      </c>
    </row>
    <row r="25" spans="1:113" s="62" customFormat="1" ht="31.8" customHeight="1">
      <c r="A25" s="63">
        <v>8</v>
      </c>
      <c r="B25" s="64" t="s">
        <v>44</v>
      </c>
      <c r="C25" s="55">
        <v>10.625</v>
      </c>
      <c r="D25" s="55">
        <v>4.5</v>
      </c>
      <c r="E25" s="55">
        <v>6.3375000000000004</v>
      </c>
      <c r="F25" s="56">
        <f t="shared" si="1"/>
        <v>0</v>
      </c>
      <c r="G25" s="55">
        <v>7.25</v>
      </c>
      <c r="H25" s="55">
        <v>2.5</v>
      </c>
      <c r="I25" s="55">
        <v>3.9249999999999998</v>
      </c>
      <c r="J25" s="56">
        <f t="shared" si="0"/>
        <v>0</v>
      </c>
      <c r="K25" s="57">
        <f t="shared" si="2"/>
        <v>5.1312500000000005</v>
      </c>
      <c r="L25" s="58">
        <f t="shared" si="3"/>
        <v>0</v>
      </c>
      <c r="M25" s="55">
        <v>18</v>
      </c>
      <c r="N25" s="55">
        <v>17.5</v>
      </c>
      <c r="O25" s="55">
        <v>17.649999999999999</v>
      </c>
      <c r="P25" s="59">
        <v>4</v>
      </c>
      <c r="Q25" s="55">
        <v>17.5</v>
      </c>
      <c r="R25" s="55">
        <v>16.5</v>
      </c>
      <c r="S25" s="55">
        <v>16.799999999999997</v>
      </c>
      <c r="T25" s="59">
        <v>3</v>
      </c>
      <c r="U25" s="57">
        <v>17.285714285714285</v>
      </c>
      <c r="V25" s="58">
        <v>7</v>
      </c>
      <c r="W25" s="55">
        <v>15.5</v>
      </c>
      <c r="X25" s="55">
        <v>13</v>
      </c>
      <c r="Y25" s="55">
        <v>13.75</v>
      </c>
      <c r="Z25" s="59">
        <v>3</v>
      </c>
      <c r="AA25" s="55">
        <v>13.5</v>
      </c>
      <c r="AB25" s="55">
        <v>12</v>
      </c>
      <c r="AC25" s="55">
        <v>12.45</v>
      </c>
      <c r="AD25" s="59">
        <v>4</v>
      </c>
      <c r="AE25" s="57">
        <v>13.007142857142856</v>
      </c>
      <c r="AF25" s="58">
        <v>7</v>
      </c>
      <c r="AG25" s="55">
        <v>13.75</v>
      </c>
      <c r="AH25" s="55">
        <v>4.5</v>
      </c>
      <c r="AI25" s="55">
        <v>7.2750000000000004</v>
      </c>
      <c r="AJ25" s="59">
        <v>0</v>
      </c>
      <c r="AK25" s="55">
        <v>14.85</v>
      </c>
      <c r="AL25" s="55">
        <v>9</v>
      </c>
      <c r="AM25" s="55">
        <v>10.754999999999999</v>
      </c>
      <c r="AN25" s="59">
        <v>3</v>
      </c>
      <c r="AO25" s="57">
        <v>9.0150000000000006</v>
      </c>
      <c r="AP25" s="58">
        <v>3</v>
      </c>
      <c r="AQ25" s="55">
        <v>17</v>
      </c>
      <c r="AR25" s="55">
        <v>16</v>
      </c>
      <c r="AS25" s="55">
        <v>16.200000000000003</v>
      </c>
      <c r="AT25" s="59">
        <v>2</v>
      </c>
      <c r="AU25" s="55">
        <v>16</v>
      </c>
      <c r="AV25" s="55">
        <v>13.5</v>
      </c>
      <c r="AW25" s="55">
        <v>14</v>
      </c>
      <c r="AX25" s="59">
        <v>2</v>
      </c>
      <c r="AY25" s="57">
        <v>15.100000000000001</v>
      </c>
      <c r="AZ25" s="58">
        <v>4</v>
      </c>
      <c r="BA25" s="60">
        <v>11.910916666666667</v>
      </c>
      <c r="BB25" s="61">
        <v>21</v>
      </c>
      <c r="BD25" s="167">
        <v>8</v>
      </c>
      <c r="BE25" s="168" t="s">
        <v>44</v>
      </c>
      <c r="BF25" s="113">
        <v>3</v>
      </c>
      <c r="BG25" s="113" t="s">
        <v>83</v>
      </c>
      <c r="BH25" s="113">
        <v>6.85</v>
      </c>
      <c r="BI25" s="157">
        <v>0</v>
      </c>
      <c r="BJ25" s="113">
        <v>7.375</v>
      </c>
      <c r="BK25" s="113">
        <v>7.25</v>
      </c>
      <c r="BL25" s="113">
        <v>7.2874999999999996</v>
      </c>
      <c r="BM25" s="157">
        <v>0</v>
      </c>
      <c r="BN25" s="158">
        <v>7.0687499999999988</v>
      </c>
      <c r="BO25" s="159">
        <v>0</v>
      </c>
      <c r="BP25" s="113">
        <v>16.5</v>
      </c>
      <c r="BQ25" s="113">
        <v>14.5</v>
      </c>
      <c r="BR25" s="113">
        <v>15.099999999999998</v>
      </c>
      <c r="BS25" s="157">
        <v>3</v>
      </c>
      <c r="BT25" s="113">
        <v>16.5</v>
      </c>
      <c r="BU25" s="113">
        <v>13</v>
      </c>
      <c r="BV25" s="113">
        <v>14.05</v>
      </c>
      <c r="BW25" s="157">
        <v>2</v>
      </c>
      <c r="BX25" s="113">
        <v>7</v>
      </c>
      <c r="BY25" s="113">
        <v>10</v>
      </c>
      <c r="BZ25" s="113">
        <v>9.1</v>
      </c>
      <c r="CA25" s="157">
        <v>0</v>
      </c>
      <c r="CB25" s="160">
        <v>13.085714285714287</v>
      </c>
      <c r="CC25" s="161">
        <v>7</v>
      </c>
      <c r="CD25" s="113">
        <v>11.333333333333334</v>
      </c>
      <c r="CE25" s="113" t="s">
        <v>84</v>
      </c>
      <c r="CF25" s="113">
        <v>7.7750000000000004</v>
      </c>
      <c r="CG25" s="157">
        <v>0</v>
      </c>
      <c r="CH25" s="113">
        <v>7.125</v>
      </c>
      <c r="CI25" s="113">
        <v>3.75</v>
      </c>
      <c r="CJ25" s="113">
        <v>4.7624999999999993</v>
      </c>
      <c r="CK25" s="157">
        <v>0</v>
      </c>
      <c r="CL25" s="160">
        <v>6.0535714285714288</v>
      </c>
      <c r="CM25" s="161">
        <v>0</v>
      </c>
      <c r="CN25" s="113">
        <v>6</v>
      </c>
      <c r="CO25" s="113">
        <v>5</v>
      </c>
      <c r="CP25" s="113">
        <v>5.3</v>
      </c>
      <c r="CQ25" s="157">
        <v>0</v>
      </c>
      <c r="CR25" s="162">
        <v>5.3</v>
      </c>
      <c r="CS25" s="163">
        <v>0</v>
      </c>
      <c r="CT25" s="113">
        <v>16</v>
      </c>
      <c r="CU25" s="113">
        <v>13</v>
      </c>
      <c r="CV25" s="113">
        <v>13.600000000000001</v>
      </c>
      <c r="CW25" s="157">
        <v>2</v>
      </c>
      <c r="CX25" s="113">
        <v>18</v>
      </c>
      <c r="CY25" s="113">
        <v>14</v>
      </c>
      <c r="CZ25" s="113">
        <v>14.8</v>
      </c>
      <c r="DA25" s="157">
        <v>2</v>
      </c>
      <c r="DB25" s="113">
        <v>15</v>
      </c>
      <c r="DC25" s="113">
        <v>4</v>
      </c>
      <c r="DD25" s="113">
        <v>6.2</v>
      </c>
      <c r="DE25" s="157">
        <v>0</v>
      </c>
      <c r="DF25" s="162">
        <v>11.533333333333333</v>
      </c>
      <c r="DG25" s="164">
        <v>6</v>
      </c>
      <c r="DH25" s="165">
        <v>8.8929166666666681</v>
      </c>
      <c r="DI25" s="166">
        <v>13</v>
      </c>
    </row>
    <row r="26" spans="1:113" s="62" customFormat="1" ht="31.8" customHeight="1" thickBot="1">
      <c r="A26" s="53">
        <v>9</v>
      </c>
      <c r="B26" s="66" t="s">
        <v>45</v>
      </c>
      <c r="C26" s="55">
        <v>11.75</v>
      </c>
      <c r="D26" s="55">
        <v>2</v>
      </c>
      <c r="E26" s="55">
        <v>4.9249999999999998</v>
      </c>
      <c r="F26" s="56">
        <f t="shared" si="1"/>
        <v>0</v>
      </c>
      <c r="G26" s="55">
        <v>14</v>
      </c>
      <c r="H26" s="55">
        <v>0.5</v>
      </c>
      <c r="I26" s="55">
        <v>4.55</v>
      </c>
      <c r="J26" s="56">
        <f t="shared" si="0"/>
        <v>0</v>
      </c>
      <c r="K26" s="57">
        <f t="shared" si="2"/>
        <v>4.7374999999999998</v>
      </c>
      <c r="L26" s="58">
        <f t="shared" si="3"/>
        <v>0</v>
      </c>
      <c r="M26" s="55">
        <v>18.5</v>
      </c>
      <c r="N26" s="55">
        <v>11</v>
      </c>
      <c r="O26" s="55">
        <v>13.25</v>
      </c>
      <c r="P26" s="59">
        <v>4</v>
      </c>
      <c r="Q26" s="55">
        <v>17.75</v>
      </c>
      <c r="R26" s="55">
        <v>15</v>
      </c>
      <c r="S26" s="55">
        <v>15.824999999999999</v>
      </c>
      <c r="T26" s="59">
        <v>3</v>
      </c>
      <c r="U26" s="57">
        <v>14.353571428571428</v>
      </c>
      <c r="V26" s="58">
        <v>7</v>
      </c>
      <c r="W26" s="55">
        <v>16</v>
      </c>
      <c r="X26" s="55">
        <v>14.5</v>
      </c>
      <c r="Y26" s="55">
        <v>14.95</v>
      </c>
      <c r="Z26" s="59">
        <v>3</v>
      </c>
      <c r="AA26" s="55">
        <v>15</v>
      </c>
      <c r="AB26" s="55">
        <v>7</v>
      </c>
      <c r="AC26" s="55">
        <v>9.3999999999999986</v>
      </c>
      <c r="AD26" s="59">
        <v>0</v>
      </c>
      <c r="AE26" s="57">
        <v>11.778571428571427</v>
      </c>
      <c r="AF26" s="58">
        <v>7</v>
      </c>
      <c r="AG26" s="55">
        <v>20</v>
      </c>
      <c r="AH26" s="55">
        <v>6.5</v>
      </c>
      <c r="AI26" s="55">
        <v>10.55</v>
      </c>
      <c r="AJ26" s="59">
        <v>3</v>
      </c>
      <c r="AK26" s="55">
        <v>14.866666666666667</v>
      </c>
      <c r="AL26" s="55">
        <v>7.75</v>
      </c>
      <c r="AM26" s="55">
        <v>9.8849999999999998</v>
      </c>
      <c r="AN26" s="59">
        <v>0</v>
      </c>
      <c r="AO26" s="57">
        <v>10.217500000000001</v>
      </c>
      <c r="AP26" s="58">
        <v>6</v>
      </c>
      <c r="AQ26" s="55">
        <v>17</v>
      </c>
      <c r="AR26" s="55">
        <v>14.75</v>
      </c>
      <c r="AS26" s="55">
        <v>15.200000000000001</v>
      </c>
      <c r="AT26" s="59">
        <v>2</v>
      </c>
      <c r="AU26" s="55">
        <v>4</v>
      </c>
      <c r="AV26" s="55">
        <v>4</v>
      </c>
      <c r="AW26" s="55">
        <v>4</v>
      </c>
      <c r="AX26" s="59">
        <v>0</v>
      </c>
      <c r="AY26" s="57">
        <v>9.6000000000000014</v>
      </c>
      <c r="AZ26" s="58">
        <v>2</v>
      </c>
      <c r="BA26" s="60">
        <v>10.368499999999999</v>
      </c>
      <c r="BB26" s="61">
        <v>22</v>
      </c>
      <c r="BD26" s="155">
        <v>9</v>
      </c>
      <c r="BE26" s="170" t="s">
        <v>45</v>
      </c>
      <c r="BF26" s="113">
        <v>13</v>
      </c>
      <c r="BG26" s="113">
        <v>4.5</v>
      </c>
      <c r="BH26" s="113">
        <v>7.05</v>
      </c>
      <c r="BI26" s="157">
        <v>0</v>
      </c>
      <c r="BJ26" s="113">
        <v>0</v>
      </c>
      <c r="BK26" s="113">
        <v>0</v>
      </c>
      <c r="BL26" s="113">
        <v>0</v>
      </c>
      <c r="BM26" s="157">
        <v>0</v>
      </c>
      <c r="BN26" s="158">
        <v>3.5249999999999999</v>
      </c>
      <c r="BO26" s="159">
        <v>0</v>
      </c>
      <c r="BP26" s="113">
        <v>16.5</v>
      </c>
      <c r="BQ26" s="113">
        <v>15</v>
      </c>
      <c r="BR26" s="113">
        <v>15.45</v>
      </c>
      <c r="BS26" s="157">
        <v>3</v>
      </c>
      <c r="BT26" s="113">
        <v>8.5</v>
      </c>
      <c r="BU26" s="113">
        <v>14</v>
      </c>
      <c r="BV26" s="113">
        <v>12.349999999999998</v>
      </c>
      <c r="BW26" s="157">
        <v>2</v>
      </c>
      <c r="BX26" s="113">
        <v>0</v>
      </c>
      <c r="BY26" s="113">
        <v>11</v>
      </c>
      <c r="BZ26" s="113">
        <v>7.6999999999999993</v>
      </c>
      <c r="CA26" s="157">
        <v>0</v>
      </c>
      <c r="CB26" s="160">
        <v>12.349999999999998</v>
      </c>
      <c r="CC26" s="161">
        <v>7</v>
      </c>
      <c r="CD26" s="113">
        <v>0</v>
      </c>
      <c r="CE26" s="113">
        <v>4.75</v>
      </c>
      <c r="CF26" s="113">
        <v>3.3249999999999997</v>
      </c>
      <c r="CG26" s="157">
        <v>0</v>
      </c>
      <c r="CH26" s="113">
        <v>3.625</v>
      </c>
      <c r="CI26" s="113">
        <v>7.25</v>
      </c>
      <c r="CJ26" s="113">
        <v>6.1624999999999996</v>
      </c>
      <c r="CK26" s="157">
        <v>0</v>
      </c>
      <c r="CL26" s="160">
        <v>4.9464285714285712</v>
      </c>
      <c r="CM26" s="161">
        <v>0</v>
      </c>
      <c r="CN26" s="113">
        <v>15</v>
      </c>
      <c r="CO26" s="113">
        <v>0</v>
      </c>
      <c r="CP26" s="113">
        <v>4.5</v>
      </c>
      <c r="CQ26" s="157">
        <v>0</v>
      </c>
      <c r="CR26" s="162">
        <v>4.5</v>
      </c>
      <c r="CS26" s="163">
        <v>0</v>
      </c>
      <c r="CT26" s="113">
        <v>16</v>
      </c>
      <c r="CU26" s="113">
        <v>16.75</v>
      </c>
      <c r="CV26" s="113">
        <v>16.600000000000001</v>
      </c>
      <c r="CW26" s="157">
        <v>2</v>
      </c>
      <c r="CX26" s="113">
        <v>13</v>
      </c>
      <c r="CY26" s="113">
        <v>4.25</v>
      </c>
      <c r="CZ26" s="113">
        <v>6</v>
      </c>
      <c r="DA26" s="157">
        <v>0</v>
      </c>
      <c r="DB26" s="113">
        <v>5</v>
      </c>
      <c r="DC26" s="113">
        <v>0</v>
      </c>
      <c r="DD26" s="113">
        <v>1</v>
      </c>
      <c r="DE26" s="157">
        <v>0</v>
      </c>
      <c r="DF26" s="162">
        <v>7.8666666666666671</v>
      </c>
      <c r="DG26" s="164">
        <v>2</v>
      </c>
      <c r="DH26" s="165">
        <v>6.9141666666666657</v>
      </c>
      <c r="DI26" s="166">
        <v>9</v>
      </c>
    </row>
    <row r="27" spans="1:113" ht="31.8" customHeight="1" thickBot="1">
      <c r="A27" s="63">
        <f>A26+1</f>
        <v>10</v>
      </c>
      <c r="B27" s="67" t="s">
        <v>46</v>
      </c>
      <c r="C27" s="55">
        <v>17.125</v>
      </c>
      <c r="D27" s="55">
        <v>17</v>
      </c>
      <c r="E27" s="55">
        <v>17.037499999999998</v>
      </c>
      <c r="F27" s="56">
        <f t="shared" si="1"/>
        <v>3</v>
      </c>
      <c r="G27" s="55">
        <v>16.75</v>
      </c>
      <c r="H27" s="55">
        <v>10.25</v>
      </c>
      <c r="I27" s="55">
        <v>12.2</v>
      </c>
      <c r="J27" s="56">
        <f t="shared" si="0"/>
        <v>3</v>
      </c>
      <c r="K27" s="57">
        <f t="shared" si="2"/>
        <v>14.618749999999999</v>
      </c>
      <c r="L27" s="58">
        <f t="shared" si="3"/>
        <v>6</v>
      </c>
      <c r="M27" s="55">
        <v>19</v>
      </c>
      <c r="N27" s="55">
        <v>17.5</v>
      </c>
      <c r="O27" s="55">
        <v>17.95</v>
      </c>
      <c r="P27" s="59">
        <v>4</v>
      </c>
      <c r="Q27" s="55">
        <v>18.5</v>
      </c>
      <c r="R27" s="55">
        <v>17</v>
      </c>
      <c r="S27" s="55">
        <v>17.45</v>
      </c>
      <c r="T27" s="59">
        <v>3</v>
      </c>
      <c r="U27" s="57">
        <v>17.735714285714284</v>
      </c>
      <c r="V27" s="58">
        <v>7</v>
      </c>
      <c r="W27" s="55">
        <v>16.5</v>
      </c>
      <c r="X27" s="55">
        <v>15</v>
      </c>
      <c r="Y27" s="55">
        <v>15.45</v>
      </c>
      <c r="Z27" s="59">
        <v>3</v>
      </c>
      <c r="AA27" s="55">
        <v>14</v>
      </c>
      <c r="AB27" s="55">
        <v>9.5</v>
      </c>
      <c r="AC27" s="55">
        <v>10.85</v>
      </c>
      <c r="AD27" s="59">
        <v>4</v>
      </c>
      <c r="AE27" s="57">
        <v>12.821428571428571</v>
      </c>
      <c r="AF27" s="58">
        <v>7</v>
      </c>
      <c r="AG27" s="55">
        <v>18</v>
      </c>
      <c r="AH27" s="55">
        <v>6.5</v>
      </c>
      <c r="AI27" s="55">
        <v>9.9499999999999993</v>
      </c>
      <c r="AJ27" s="59">
        <v>0</v>
      </c>
      <c r="AK27" s="55">
        <v>16.525666666666666</v>
      </c>
      <c r="AL27" s="55">
        <v>7.65</v>
      </c>
      <c r="AM27" s="55">
        <v>10.3127</v>
      </c>
      <c r="AN27" s="59">
        <v>3</v>
      </c>
      <c r="AO27" s="57">
        <v>10.131349999999999</v>
      </c>
      <c r="AP27" s="58">
        <v>6</v>
      </c>
      <c r="AQ27" s="55">
        <v>18</v>
      </c>
      <c r="AR27" s="55">
        <v>12.25</v>
      </c>
      <c r="AS27" s="55">
        <v>13.4</v>
      </c>
      <c r="AT27" s="59">
        <v>2</v>
      </c>
      <c r="AU27" s="55">
        <v>5</v>
      </c>
      <c r="AV27" s="55">
        <v>9.5</v>
      </c>
      <c r="AW27" s="55">
        <v>8.6000000000000014</v>
      </c>
      <c r="AX27" s="59">
        <v>0</v>
      </c>
      <c r="AY27" s="57">
        <v>11</v>
      </c>
      <c r="AZ27" s="58">
        <v>4</v>
      </c>
      <c r="BA27" s="60">
        <v>13.546686666666664</v>
      </c>
      <c r="BB27" s="61">
        <v>30</v>
      </c>
      <c r="BD27" s="155">
        <v>10</v>
      </c>
      <c r="BE27" s="171" t="s">
        <v>46</v>
      </c>
      <c r="BF27" s="113">
        <v>16.5</v>
      </c>
      <c r="BG27" s="113">
        <v>15</v>
      </c>
      <c r="BH27" s="113">
        <v>15.45</v>
      </c>
      <c r="BI27" s="157">
        <v>3</v>
      </c>
      <c r="BJ27" s="113">
        <v>14</v>
      </c>
      <c r="BK27" s="113">
        <v>15</v>
      </c>
      <c r="BL27" s="113">
        <v>14.7</v>
      </c>
      <c r="BM27" s="157">
        <v>3</v>
      </c>
      <c r="BN27" s="158">
        <v>15.074999999999998</v>
      </c>
      <c r="BO27" s="159">
        <v>6</v>
      </c>
      <c r="BP27" s="113">
        <v>18.25</v>
      </c>
      <c r="BQ27" s="113">
        <v>16</v>
      </c>
      <c r="BR27" s="113">
        <v>16.674999999999997</v>
      </c>
      <c r="BS27" s="157">
        <v>3</v>
      </c>
      <c r="BT27" s="113">
        <v>18.25</v>
      </c>
      <c r="BU27" s="113">
        <v>16</v>
      </c>
      <c r="BV27" s="113">
        <v>16.674999999999997</v>
      </c>
      <c r="BW27" s="157">
        <v>2</v>
      </c>
      <c r="BX27" s="113">
        <v>17.5</v>
      </c>
      <c r="BY27" s="113">
        <v>8.5</v>
      </c>
      <c r="BZ27" s="113">
        <v>11.2</v>
      </c>
      <c r="CA27" s="157">
        <v>2</v>
      </c>
      <c r="CB27" s="160">
        <v>15.110714285714282</v>
      </c>
      <c r="CC27" s="161">
        <v>7</v>
      </c>
      <c r="CD27" s="113">
        <v>13.5</v>
      </c>
      <c r="CE27" s="113">
        <v>9.5</v>
      </c>
      <c r="CF27" s="113">
        <v>10.7</v>
      </c>
      <c r="CG27" s="157">
        <v>3</v>
      </c>
      <c r="CH27" s="113">
        <v>9</v>
      </c>
      <c r="CI27" s="113">
        <v>6.75</v>
      </c>
      <c r="CJ27" s="113">
        <v>7.4249999999999989</v>
      </c>
      <c r="CK27" s="157">
        <v>0</v>
      </c>
      <c r="CL27" s="160">
        <v>8.8285714285714274</v>
      </c>
      <c r="CM27" s="161">
        <v>3</v>
      </c>
      <c r="CN27" s="113">
        <v>15</v>
      </c>
      <c r="CO27" s="113">
        <v>13</v>
      </c>
      <c r="CP27" s="113">
        <v>13.6</v>
      </c>
      <c r="CQ27" s="157">
        <v>4</v>
      </c>
      <c r="CR27" s="162">
        <v>13.6</v>
      </c>
      <c r="CS27" s="163">
        <v>4</v>
      </c>
      <c r="CT27" s="113">
        <v>14</v>
      </c>
      <c r="CU27" s="113">
        <v>15.25</v>
      </c>
      <c r="CV27" s="113">
        <v>15.000000000000002</v>
      </c>
      <c r="CW27" s="157">
        <v>2</v>
      </c>
      <c r="CX27" s="113">
        <v>6</v>
      </c>
      <c r="CY27" s="113">
        <v>10.25</v>
      </c>
      <c r="CZ27" s="113">
        <v>9.4000000000000021</v>
      </c>
      <c r="DA27" s="157">
        <v>0</v>
      </c>
      <c r="DB27" s="113">
        <v>12.5</v>
      </c>
      <c r="DC27" s="113">
        <v>3.5</v>
      </c>
      <c r="DD27" s="113">
        <v>5.3000000000000007</v>
      </c>
      <c r="DE27" s="157">
        <v>0</v>
      </c>
      <c r="DF27" s="162">
        <v>9.9000000000000021</v>
      </c>
      <c r="DG27" s="164">
        <v>2</v>
      </c>
      <c r="DH27" s="165">
        <v>12.394166666666667</v>
      </c>
      <c r="DI27" s="166">
        <v>22</v>
      </c>
    </row>
    <row r="28" spans="1:113" ht="31.8" customHeight="1" thickBot="1">
      <c r="A28" s="53">
        <f t="shared" ref="A28:A31" si="4">A27+1</f>
        <v>11</v>
      </c>
      <c r="B28" s="68" t="s">
        <v>47</v>
      </c>
      <c r="C28" s="55">
        <v>0</v>
      </c>
      <c r="D28" s="55">
        <v>0</v>
      </c>
      <c r="E28" s="55">
        <v>0</v>
      </c>
      <c r="F28" s="56">
        <f t="shared" si="1"/>
        <v>0</v>
      </c>
      <c r="G28" s="55">
        <v>7.75</v>
      </c>
      <c r="H28" s="55">
        <v>0.5</v>
      </c>
      <c r="I28" s="55">
        <v>2.6749999999999998</v>
      </c>
      <c r="J28" s="56">
        <f t="shared" si="0"/>
        <v>0</v>
      </c>
      <c r="K28" s="57">
        <f t="shared" si="2"/>
        <v>1.3374999999999997</v>
      </c>
      <c r="L28" s="58">
        <f t="shared" si="3"/>
        <v>0</v>
      </c>
      <c r="M28" s="55">
        <v>17.75</v>
      </c>
      <c r="N28" s="55">
        <v>17.5</v>
      </c>
      <c r="O28" s="55">
        <v>17.574999999999999</v>
      </c>
      <c r="P28" s="59">
        <v>4</v>
      </c>
      <c r="Q28" s="55">
        <v>17.75</v>
      </c>
      <c r="R28" s="55">
        <v>17</v>
      </c>
      <c r="S28" s="55">
        <v>17.224999999999998</v>
      </c>
      <c r="T28" s="59">
        <v>3</v>
      </c>
      <c r="U28" s="57">
        <v>17.425000000000001</v>
      </c>
      <c r="V28" s="58">
        <v>7</v>
      </c>
      <c r="W28" s="55">
        <v>12</v>
      </c>
      <c r="X28" s="55">
        <v>12.5</v>
      </c>
      <c r="Y28" s="55">
        <v>12.35</v>
      </c>
      <c r="Z28" s="59">
        <v>3</v>
      </c>
      <c r="AA28" s="55">
        <v>12.166666666666666</v>
      </c>
      <c r="AB28" s="55">
        <v>11.5</v>
      </c>
      <c r="AC28" s="55">
        <v>11.7</v>
      </c>
      <c r="AD28" s="59">
        <v>4</v>
      </c>
      <c r="AE28" s="57">
        <v>11.978571428571428</v>
      </c>
      <c r="AF28" s="58">
        <v>7</v>
      </c>
      <c r="AG28" s="55">
        <v>0</v>
      </c>
      <c r="AH28" s="55">
        <v>9.5</v>
      </c>
      <c r="AI28" s="55">
        <v>6.6499999999999995</v>
      </c>
      <c r="AJ28" s="59">
        <v>0</v>
      </c>
      <c r="AK28" s="55">
        <v>13.15</v>
      </c>
      <c r="AL28" s="55">
        <v>9.7249999999999996</v>
      </c>
      <c r="AM28" s="55">
        <v>10.7525</v>
      </c>
      <c r="AN28" s="59">
        <v>3</v>
      </c>
      <c r="AO28" s="57">
        <v>8.7012499999999999</v>
      </c>
      <c r="AP28" s="58">
        <v>3</v>
      </c>
      <c r="AQ28" s="55">
        <v>0</v>
      </c>
      <c r="AR28" s="55">
        <v>7.75</v>
      </c>
      <c r="AS28" s="55">
        <v>6.2</v>
      </c>
      <c r="AT28" s="59">
        <v>0</v>
      </c>
      <c r="AU28" s="55">
        <v>12</v>
      </c>
      <c r="AV28" s="55">
        <v>13.5</v>
      </c>
      <c r="AW28" s="55">
        <v>13.200000000000001</v>
      </c>
      <c r="AX28" s="59">
        <v>2</v>
      </c>
      <c r="AY28" s="57">
        <v>9.7000000000000011</v>
      </c>
      <c r="AZ28" s="58">
        <v>2</v>
      </c>
      <c r="BA28" s="60">
        <v>10.161916666666666</v>
      </c>
      <c r="BB28" s="61">
        <v>19</v>
      </c>
      <c r="BD28" s="155">
        <v>11</v>
      </c>
      <c r="BE28" s="172" t="s">
        <v>47</v>
      </c>
      <c r="BF28" s="113">
        <v>3.25</v>
      </c>
      <c r="BG28" s="113">
        <v>10</v>
      </c>
      <c r="BH28" s="113">
        <v>7.9749999999999996</v>
      </c>
      <c r="BI28" s="157">
        <v>0</v>
      </c>
      <c r="BJ28" s="113">
        <v>6</v>
      </c>
      <c r="BK28" s="113">
        <v>1.5</v>
      </c>
      <c r="BL28" s="113">
        <v>2.8499999999999996</v>
      </c>
      <c r="BM28" s="157">
        <v>0</v>
      </c>
      <c r="BN28" s="158">
        <v>5.4124999999999988</v>
      </c>
      <c r="BO28" s="159">
        <v>0</v>
      </c>
      <c r="BP28" s="113">
        <v>17.5</v>
      </c>
      <c r="BQ28" s="113">
        <v>17</v>
      </c>
      <c r="BR28" s="113">
        <v>17.149999999999999</v>
      </c>
      <c r="BS28" s="157">
        <v>3</v>
      </c>
      <c r="BT28" s="113">
        <v>18.25</v>
      </c>
      <c r="BU28" s="113">
        <v>15.5</v>
      </c>
      <c r="BV28" s="113">
        <v>16.324999999999999</v>
      </c>
      <c r="BW28" s="157">
        <v>2</v>
      </c>
      <c r="BX28" s="113">
        <v>18</v>
      </c>
      <c r="BY28" s="113">
        <v>11</v>
      </c>
      <c r="BZ28" s="113">
        <v>13.099999999999998</v>
      </c>
      <c r="CA28" s="157">
        <v>2</v>
      </c>
      <c r="CB28" s="160">
        <v>15.757142857142854</v>
      </c>
      <c r="CC28" s="161">
        <v>7</v>
      </c>
      <c r="CD28" s="113">
        <v>10.75</v>
      </c>
      <c r="CE28" s="113">
        <v>6</v>
      </c>
      <c r="CF28" s="113">
        <v>7.4249999999999989</v>
      </c>
      <c r="CG28" s="157">
        <v>0</v>
      </c>
      <c r="CH28" s="113">
        <v>2.75</v>
      </c>
      <c r="CI28" s="113">
        <v>8.5</v>
      </c>
      <c r="CJ28" s="113">
        <v>6.7749999999999995</v>
      </c>
      <c r="CK28" s="157">
        <v>0</v>
      </c>
      <c r="CL28" s="160">
        <v>7.0535714285714288</v>
      </c>
      <c r="CM28" s="161">
        <v>0</v>
      </c>
      <c r="CN28" s="113">
        <v>13</v>
      </c>
      <c r="CO28" s="113">
        <v>0</v>
      </c>
      <c r="CP28" s="113">
        <v>3.9</v>
      </c>
      <c r="CQ28" s="157">
        <v>0</v>
      </c>
      <c r="CR28" s="162">
        <v>3.9</v>
      </c>
      <c r="CS28" s="163">
        <v>0</v>
      </c>
      <c r="CT28" s="113">
        <v>10</v>
      </c>
      <c r="CU28" s="113">
        <v>14.75</v>
      </c>
      <c r="CV28" s="113">
        <v>13.8</v>
      </c>
      <c r="CW28" s="157">
        <v>2</v>
      </c>
      <c r="CX28" s="113">
        <v>0</v>
      </c>
      <c r="CY28" s="113">
        <v>11.75</v>
      </c>
      <c r="CZ28" s="113">
        <v>9.4</v>
      </c>
      <c r="DA28" s="157">
        <v>0</v>
      </c>
      <c r="DB28" s="113">
        <v>5</v>
      </c>
      <c r="DC28" s="113">
        <v>6</v>
      </c>
      <c r="DD28" s="113">
        <v>5.8000000000000007</v>
      </c>
      <c r="DE28" s="157">
        <v>0</v>
      </c>
      <c r="DF28" s="162">
        <v>9.6666666666666679</v>
      </c>
      <c r="DG28" s="164">
        <v>2</v>
      </c>
      <c r="DH28" s="165">
        <v>8.8583333333333325</v>
      </c>
      <c r="DI28" s="166">
        <v>9</v>
      </c>
    </row>
    <row r="29" spans="1:113" ht="31.8" customHeight="1" thickBot="1">
      <c r="A29" s="63">
        <f t="shared" si="4"/>
        <v>12</v>
      </c>
      <c r="B29" s="69" t="s">
        <v>48</v>
      </c>
      <c r="C29" s="55">
        <v>3.75</v>
      </c>
      <c r="D29" s="55">
        <v>1.5</v>
      </c>
      <c r="E29" s="55">
        <v>2.1749999999999998</v>
      </c>
      <c r="F29" s="56">
        <f t="shared" si="1"/>
        <v>0</v>
      </c>
      <c r="G29" s="55">
        <v>5.75</v>
      </c>
      <c r="H29" s="55">
        <v>0.5</v>
      </c>
      <c r="I29" s="55">
        <v>2.0749999999999997</v>
      </c>
      <c r="J29" s="56">
        <f t="shared" si="0"/>
        <v>0</v>
      </c>
      <c r="K29" s="57">
        <f t="shared" si="2"/>
        <v>2.125</v>
      </c>
      <c r="L29" s="58">
        <f t="shared" si="3"/>
        <v>0</v>
      </c>
      <c r="M29" s="55">
        <v>18</v>
      </c>
      <c r="N29" s="55">
        <v>18.5</v>
      </c>
      <c r="O29" s="55">
        <v>18.349999999999998</v>
      </c>
      <c r="P29" s="59">
        <v>4</v>
      </c>
      <c r="Q29" s="55">
        <v>17.75</v>
      </c>
      <c r="R29" s="55">
        <v>18</v>
      </c>
      <c r="S29" s="55">
        <v>17.925000000000001</v>
      </c>
      <c r="T29" s="59">
        <v>3</v>
      </c>
      <c r="U29" s="57">
        <v>18.167857142857141</v>
      </c>
      <c r="V29" s="58">
        <v>7</v>
      </c>
      <c r="W29" s="55">
        <v>15.75</v>
      </c>
      <c r="X29" s="55">
        <v>12</v>
      </c>
      <c r="Y29" s="55">
        <v>13.124999999999998</v>
      </c>
      <c r="Z29" s="59">
        <v>3</v>
      </c>
      <c r="AA29" s="55">
        <v>11</v>
      </c>
      <c r="AB29" s="55">
        <v>3</v>
      </c>
      <c r="AC29" s="55">
        <v>5.3999999999999995</v>
      </c>
      <c r="AD29" s="59">
        <v>0</v>
      </c>
      <c r="AE29" s="57">
        <v>8.7107142857142854</v>
      </c>
      <c r="AF29" s="58">
        <v>3</v>
      </c>
      <c r="AG29" s="55">
        <v>0</v>
      </c>
      <c r="AH29" s="55">
        <v>12.5</v>
      </c>
      <c r="AI29" s="55">
        <v>8.75</v>
      </c>
      <c r="AJ29" s="59">
        <v>0</v>
      </c>
      <c r="AK29" s="55">
        <v>8.5</v>
      </c>
      <c r="AL29" s="55">
        <v>6.35</v>
      </c>
      <c r="AM29" s="55">
        <v>6.9949999999999992</v>
      </c>
      <c r="AN29" s="59">
        <v>0</v>
      </c>
      <c r="AO29" s="57">
        <v>7.8724999999999996</v>
      </c>
      <c r="AP29" s="58">
        <v>0</v>
      </c>
      <c r="AQ29" s="55">
        <v>0</v>
      </c>
      <c r="AR29" s="55">
        <v>8.75</v>
      </c>
      <c r="AS29" s="55">
        <v>7</v>
      </c>
      <c r="AT29" s="59">
        <v>0</v>
      </c>
      <c r="AU29" s="55">
        <v>0</v>
      </c>
      <c r="AV29" s="55">
        <v>0</v>
      </c>
      <c r="AW29" s="55">
        <v>0</v>
      </c>
      <c r="AX29" s="59">
        <v>0</v>
      </c>
      <c r="AY29" s="57">
        <v>3.5</v>
      </c>
      <c r="AZ29" s="58">
        <v>0</v>
      </c>
      <c r="BA29" s="60">
        <v>8.7378333333333327</v>
      </c>
      <c r="BB29" s="61">
        <v>10</v>
      </c>
      <c r="BD29" s="155">
        <v>12</v>
      </c>
      <c r="BE29" s="173" t="s">
        <v>48</v>
      </c>
      <c r="BF29" s="113">
        <v>4.5</v>
      </c>
      <c r="BG29" s="113">
        <v>4</v>
      </c>
      <c r="BH29" s="113">
        <v>4.1499999999999995</v>
      </c>
      <c r="BI29" s="157">
        <v>0</v>
      </c>
      <c r="BJ29" s="113">
        <v>6.5</v>
      </c>
      <c r="BK29" s="113">
        <v>0</v>
      </c>
      <c r="BL29" s="113">
        <v>1.95</v>
      </c>
      <c r="BM29" s="157">
        <v>0</v>
      </c>
      <c r="BN29" s="158">
        <v>3.0499999999999994</v>
      </c>
      <c r="BO29" s="159">
        <v>0</v>
      </c>
      <c r="BP29" s="113">
        <v>17.25</v>
      </c>
      <c r="BQ29" s="113">
        <v>13.5</v>
      </c>
      <c r="BR29" s="113">
        <v>14.625</v>
      </c>
      <c r="BS29" s="157">
        <v>3</v>
      </c>
      <c r="BT29" s="113">
        <v>18</v>
      </c>
      <c r="BU29" s="113">
        <v>14</v>
      </c>
      <c r="BV29" s="113">
        <v>15.2</v>
      </c>
      <c r="BW29" s="157">
        <v>2</v>
      </c>
      <c r="BX29" s="113">
        <v>11.5</v>
      </c>
      <c r="BY29" s="113">
        <v>10</v>
      </c>
      <c r="BZ29" s="113">
        <v>10.45</v>
      </c>
      <c r="CA29" s="157">
        <v>2</v>
      </c>
      <c r="CB29" s="160">
        <v>13.596428571428573</v>
      </c>
      <c r="CC29" s="161">
        <v>7</v>
      </c>
      <c r="CD29" s="113">
        <v>9.25</v>
      </c>
      <c r="CE29" s="113">
        <v>6</v>
      </c>
      <c r="CF29" s="113">
        <v>6.9749999999999996</v>
      </c>
      <c r="CG29" s="157">
        <v>0</v>
      </c>
      <c r="CH29" s="113">
        <v>0.5</v>
      </c>
      <c r="CI29" s="113" t="s">
        <v>85</v>
      </c>
      <c r="CJ29" s="113">
        <v>1.3749999999999998</v>
      </c>
      <c r="CK29" s="157">
        <v>0</v>
      </c>
      <c r="CL29" s="160">
        <v>3.7749999999999995</v>
      </c>
      <c r="CM29" s="161">
        <v>0</v>
      </c>
      <c r="CN29" s="113">
        <v>6.666666666666667</v>
      </c>
      <c r="CO29" s="113">
        <v>0</v>
      </c>
      <c r="CP29" s="113">
        <v>2</v>
      </c>
      <c r="CQ29" s="157">
        <v>0</v>
      </c>
      <c r="CR29" s="162">
        <v>2</v>
      </c>
      <c r="CS29" s="163">
        <v>0</v>
      </c>
      <c r="CT29" s="113">
        <v>0</v>
      </c>
      <c r="CU29" s="113">
        <v>7</v>
      </c>
      <c r="CV29" s="113">
        <v>5.6000000000000005</v>
      </c>
      <c r="CW29" s="157">
        <v>0</v>
      </c>
      <c r="CX29" s="113">
        <v>0</v>
      </c>
      <c r="CY29" s="113">
        <v>0</v>
      </c>
      <c r="CZ29" s="113">
        <v>0</v>
      </c>
      <c r="DA29" s="157">
        <v>0</v>
      </c>
      <c r="DB29" s="113">
        <v>2.5</v>
      </c>
      <c r="DC29" s="113">
        <v>4.5</v>
      </c>
      <c r="DD29" s="113">
        <v>4.0999999999999996</v>
      </c>
      <c r="DE29" s="157">
        <v>0</v>
      </c>
      <c r="DF29" s="162">
        <v>3.2333333333333329</v>
      </c>
      <c r="DG29" s="164">
        <v>0</v>
      </c>
      <c r="DH29" s="165">
        <v>5.5766666666666671</v>
      </c>
      <c r="DI29" s="166">
        <v>7</v>
      </c>
    </row>
    <row r="30" spans="1:113" ht="31.8" customHeight="1" thickBot="1">
      <c r="A30" s="53">
        <f t="shared" si="4"/>
        <v>13</v>
      </c>
      <c r="B30" s="68" t="s">
        <v>49</v>
      </c>
      <c r="C30" s="55">
        <v>5</v>
      </c>
      <c r="D30" s="55">
        <v>2</v>
      </c>
      <c r="E30" s="55">
        <v>2.9</v>
      </c>
      <c r="F30" s="56">
        <f t="shared" si="1"/>
        <v>0</v>
      </c>
      <c r="G30" s="55">
        <v>8.75</v>
      </c>
      <c r="H30" s="55">
        <v>0.5</v>
      </c>
      <c r="I30" s="55">
        <v>2.9750000000000001</v>
      </c>
      <c r="J30" s="56">
        <f t="shared" si="0"/>
        <v>0</v>
      </c>
      <c r="K30" s="57">
        <f t="shared" si="2"/>
        <v>2.9375</v>
      </c>
      <c r="L30" s="58">
        <f t="shared" si="3"/>
        <v>0</v>
      </c>
      <c r="M30" s="55">
        <v>17.5</v>
      </c>
      <c r="N30" s="55">
        <v>17</v>
      </c>
      <c r="O30" s="55">
        <v>17.149999999999999</v>
      </c>
      <c r="P30" s="59">
        <v>4</v>
      </c>
      <c r="Q30" s="55">
        <v>17.25</v>
      </c>
      <c r="R30" s="55">
        <v>16.5</v>
      </c>
      <c r="S30" s="55">
        <v>16.724999999999998</v>
      </c>
      <c r="T30" s="59">
        <v>3</v>
      </c>
      <c r="U30" s="57">
        <v>16.967857142857142</v>
      </c>
      <c r="V30" s="58">
        <v>7</v>
      </c>
      <c r="W30" s="55">
        <v>16.25</v>
      </c>
      <c r="X30" s="55">
        <v>14</v>
      </c>
      <c r="Y30" s="55">
        <v>14.674999999999999</v>
      </c>
      <c r="Z30" s="59">
        <v>3</v>
      </c>
      <c r="AA30" s="55">
        <v>14</v>
      </c>
      <c r="AB30" s="55">
        <v>8.5</v>
      </c>
      <c r="AC30" s="55">
        <v>10.149999999999999</v>
      </c>
      <c r="AD30" s="59">
        <v>4</v>
      </c>
      <c r="AE30" s="57">
        <v>12.089285714285714</v>
      </c>
      <c r="AF30" s="58">
        <v>7</v>
      </c>
      <c r="AG30" s="55">
        <v>16</v>
      </c>
      <c r="AH30" s="55">
        <v>7.5</v>
      </c>
      <c r="AI30" s="55">
        <v>10.050000000000001</v>
      </c>
      <c r="AJ30" s="59">
        <v>3</v>
      </c>
      <c r="AK30" s="55">
        <v>14.466666666666667</v>
      </c>
      <c r="AL30" s="55">
        <v>8.65</v>
      </c>
      <c r="AM30" s="55">
        <v>10.395</v>
      </c>
      <c r="AN30" s="59">
        <v>3</v>
      </c>
      <c r="AO30" s="57">
        <v>10.2225</v>
      </c>
      <c r="AP30" s="58">
        <v>6</v>
      </c>
      <c r="AQ30" s="55">
        <v>13</v>
      </c>
      <c r="AR30" s="55">
        <v>16.75</v>
      </c>
      <c r="AS30" s="55">
        <v>16</v>
      </c>
      <c r="AT30" s="59">
        <v>2</v>
      </c>
      <c r="AU30" s="55">
        <v>12</v>
      </c>
      <c r="AV30" s="55">
        <v>12</v>
      </c>
      <c r="AW30" s="55">
        <v>12.000000000000002</v>
      </c>
      <c r="AX30" s="59">
        <v>2</v>
      </c>
      <c r="AY30" s="57">
        <v>14</v>
      </c>
      <c r="AZ30" s="58">
        <v>4</v>
      </c>
      <c r="BA30" s="60">
        <v>11.278666666666664</v>
      </c>
      <c r="BB30" s="61">
        <v>24</v>
      </c>
      <c r="BD30" s="155">
        <v>13</v>
      </c>
      <c r="BE30" s="172" t="s">
        <v>49</v>
      </c>
      <c r="BF30" s="113">
        <v>4.5</v>
      </c>
      <c r="BG30" s="113">
        <v>5</v>
      </c>
      <c r="BH30" s="113">
        <v>4.8499999999999996</v>
      </c>
      <c r="BI30" s="157">
        <v>0</v>
      </c>
      <c r="BJ30" s="113">
        <v>9</v>
      </c>
      <c r="BK30" s="113">
        <v>2.5</v>
      </c>
      <c r="BL30" s="113">
        <v>4.4499999999999993</v>
      </c>
      <c r="BM30" s="157">
        <v>0</v>
      </c>
      <c r="BN30" s="158">
        <v>4.6499999999999995</v>
      </c>
      <c r="BO30" s="159">
        <v>0</v>
      </c>
      <c r="BP30" s="113">
        <v>17</v>
      </c>
      <c r="BQ30" s="113">
        <v>15</v>
      </c>
      <c r="BR30" s="113">
        <v>15.6</v>
      </c>
      <c r="BS30" s="157">
        <v>3</v>
      </c>
      <c r="BT30" s="113">
        <v>16.75</v>
      </c>
      <c r="BU30" s="113">
        <v>15</v>
      </c>
      <c r="BV30" s="113">
        <v>15.524999999999999</v>
      </c>
      <c r="BW30" s="157">
        <v>2</v>
      </c>
      <c r="BX30" s="113">
        <v>12</v>
      </c>
      <c r="BY30" s="113">
        <v>14</v>
      </c>
      <c r="BZ30" s="113">
        <v>13.399999999999999</v>
      </c>
      <c r="CA30" s="157">
        <v>2</v>
      </c>
      <c r="CB30" s="160">
        <v>14.95</v>
      </c>
      <c r="CC30" s="161">
        <v>7</v>
      </c>
      <c r="CD30" s="113">
        <v>11.666666666666666</v>
      </c>
      <c r="CE30" s="113">
        <v>5.5</v>
      </c>
      <c r="CF30" s="113">
        <v>7.35</v>
      </c>
      <c r="CG30" s="157">
        <v>0</v>
      </c>
      <c r="CH30" s="113">
        <v>10.125</v>
      </c>
      <c r="CI30" s="113">
        <v>4.25</v>
      </c>
      <c r="CJ30" s="113">
        <v>6.0124999999999993</v>
      </c>
      <c r="CK30" s="157">
        <v>0</v>
      </c>
      <c r="CL30" s="160">
        <v>6.5857142857142845</v>
      </c>
      <c r="CM30" s="161">
        <v>0</v>
      </c>
      <c r="CN30" s="113">
        <v>15.333333333333334</v>
      </c>
      <c r="CO30" s="113">
        <v>8</v>
      </c>
      <c r="CP30" s="113">
        <v>10.199999999999999</v>
      </c>
      <c r="CQ30" s="157">
        <v>4</v>
      </c>
      <c r="CR30" s="162">
        <v>10.199999999999999</v>
      </c>
      <c r="CS30" s="163">
        <v>4</v>
      </c>
      <c r="CT30" s="113">
        <v>12</v>
      </c>
      <c r="CU30" s="113">
        <v>14.5</v>
      </c>
      <c r="CV30" s="113">
        <v>14.000000000000002</v>
      </c>
      <c r="CW30" s="157">
        <v>2</v>
      </c>
      <c r="CX30" s="113">
        <v>16</v>
      </c>
      <c r="CY30" s="113">
        <v>11.75</v>
      </c>
      <c r="CZ30" s="113">
        <v>12.600000000000001</v>
      </c>
      <c r="DA30" s="157">
        <v>2</v>
      </c>
      <c r="DB30" s="113">
        <v>10</v>
      </c>
      <c r="DC30" s="113">
        <v>15.5</v>
      </c>
      <c r="DD30" s="113">
        <v>14.4</v>
      </c>
      <c r="DE30" s="157">
        <v>2</v>
      </c>
      <c r="DF30" s="162">
        <v>13.666666666666666</v>
      </c>
      <c r="DG30" s="164">
        <v>6</v>
      </c>
      <c r="DH30" s="165">
        <v>10.04833333333333</v>
      </c>
      <c r="DI30" s="166">
        <v>17</v>
      </c>
    </row>
    <row r="31" spans="1:113" ht="31.8" customHeight="1" thickBot="1">
      <c r="A31" s="70">
        <f t="shared" si="4"/>
        <v>14</v>
      </c>
      <c r="B31" s="69" t="s">
        <v>50</v>
      </c>
      <c r="C31" s="55">
        <v>4.25</v>
      </c>
      <c r="D31" s="55">
        <v>2</v>
      </c>
      <c r="E31" s="55">
        <v>2.6749999999999998</v>
      </c>
      <c r="F31" s="56">
        <f t="shared" si="1"/>
        <v>0</v>
      </c>
      <c r="G31" s="55">
        <v>7.25</v>
      </c>
      <c r="H31" s="55">
        <v>0.5</v>
      </c>
      <c r="I31" s="55">
        <v>2.5249999999999999</v>
      </c>
      <c r="J31" s="56">
        <f t="shared" si="0"/>
        <v>0</v>
      </c>
      <c r="K31" s="57">
        <f t="shared" si="2"/>
        <v>2.5999999999999996</v>
      </c>
      <c r="L31" s="58">
        <f t="shared" si="3"/>
        <v>0</v>
      </c>
      <c r="M31" s="55">
        <v>17.25</v>
      </c>
      <c r="N31" s="55">
        <v>17.5</v>
      </c>
      <c r="O31" s="55">
        <v>17.425000000000001</v>
      </c>
      <c r="P31" s="59">
        <v>4</v>
      </c>
      <c r="Q31" s="55">
        <v>17</v>
      </c>
      <c r="R31" s="55">
        <v>17.5</v>
      </c>
      <c r="S31" s="55">
        <v>17.350000000000001</v>
      </c>
      <c r="T31" s="59">
        <v>3</v>
      </c>
      <c r="U31" s="57">
        <v>17.392857142857142</v>
      </c>
      <c r="V31" s="58">
        <v>7</v>
      </c>
      <c r="W31" s="55">
        <v>15.25</v>
      </c>
      <c r="X31" s="55">
        <v>12.5</v>
      </c>
      <c r="Y31" s="55">
        <v>13.324999999999999</v>
      </c>
      <c r="Z31" s="59">
        <v>3</v>
      </c>
      <c r="AA31" s="55">
        <v>12.333333333333334</v>
      </c>
      <c r="AB31" s="55">
        <v>5</v>
      </c>
      <c r="AC31" s="55">
        <v>7.2</v>
      </c>
      <c r="AD31" s="59">
        <v>0</v>
      </c>
      <c r="AE31" s="57">
        <v>9.8249999999999993</v>
      </c>
      <c r="AF31" s="58">
        <v>3</v>
      </c>
      <c r="AG31" s="55">
        <v>11.5</v>
      </c>
      <c r="AH31" s="55">
        <v>4.5</v>
      </c>
      <c r="AI31" s="55">
        <v>6.6</v>
      </c>
      <c r="AJ31" s="59">
        <v>0</v>
      </c>
      <c r="AK31" s="55">
        <v>14.200000000000001</v>
      </c>
      <c r="AL31" s="55">
        <v>6</v>
      </c>
      <c r="AM31" s="55">
        <v>8.4599999999999991</v>
      </c>
      <c r="AN31" s="59">
        <v>0</v>
      </c>
      <c r="AO31" s="57">
        <v>7.5299999999999985</v>
      </c>
      <c r="AP31" s="58">
        <v>0</v>
      </c>
      <c r="AQ31" s="55">
        <v>17</v>
      </c>
      <c r="AR31" s="55">
        <v>16.25</v>
      </c>
      <c r="AS31" s="55">
        <v>16.399999999999999</v>
      </c>
      <c r="AT31" s="59">
        <v>2</v>
      </c>
      <c r="AU31" s="55">
        <v>4</v>
      </c>
      <c r="AV31" s="55">
        <v>10.75</v>
      </c>
      <c r="AW31" s="55">
        <v>9.4</v>
      </c>
      <c r="AX31" s="59">
        <v>0</v>
      </c>
      <c r="AY31" s="57">
        <v>12.899999999999999</v>
      </c>
      <c r="AZ31" s="58">
        <v>4</v>
      </c>
      <c r="BA31" s="60">
        <v>10.096833333333333</v>
      </c>
      <c r="BB31" s="61">
        <v>14</v>
      </c>
      <c r="BD31" s="155">
        <v>14</v>
      </c>
      <c r="BE31" s="173" t="s">
        <v>50</v>
      </c>
      <c r="BF31" s="113">
        <v>3</v>
      </c>
      <c r="BG31" s="113">
        <v>4</v>
      </c>
      <c r="BH31" s="113">
        <v>3.6999999999999997</v>
      </c>
      <c r="BI31" s="157">
        <v>0</v>
      </c>
      <c r="BJ31" s="113">
        <v>6.125</v>
      </c>
      <c r="BK31" s="113">
        <v>0.75</v>
      </c>
      <c r="BL31" s="113">
        <v>2.3624999999999998</v>
      </c>
      <c r="BM31" s="157">
        <v>0</v>
      </c>
      <c r="BN31" s="158">
        <v>3.03125</v>
      </c>
      <c r="BO31" s="159">
        <v>0</v>
      </c>
      <c r="BP31" s="113">
        <v>8</v>
      </c>
      <c r="BQ31" s="113">
        <v>16.5</v>
      </c>
      <c r="BR31" s="113">
        <v>13.95</v>
      </c>
      <c r="BS31" s="157">
        <v>3</v>
      </c>
      <c r="BT31" s="113">
        <v>16.25</v>
      </c>
      <c r="BU31" s="113">
        <v>17</v>
      </c>
      <c r="BV31" s="113">
        <v>16.774999999999999</v>
      </c>
      <c r="BW31" s="157">
        <v>2</v>
      </c>
      <c r="BX31" s="113">
        <v>7</v>
      </c>
      <c r="BY31" s="113">
        <v>9</v>
      </c>
      <c r="BZ31" s="113">
        <v>8.4</v>
      </c>
      <c r="CA31" s="157">
        <v>0</v>
      </c>
      <c r="CB31" s="160">
        <v>13.171428571428569</v>
      </c>
      <c r="CC31" s="161">
        <v>7</v>
      </c>
      <c r="CD31" s="113">
        <v>7.5</v>
      </c>
      <c r="CE31" s="113">
        <v>2.5</v>
      </c>
      <c r="CF31" s="113">
        <v>4</v>
      </c>
      <c r="CG31" s="157">
        <v>0</v>
      </c>
      <c r="CH31" s="113">
        <v>1.5</v>
      </c>
      <c r="CI31" s="113">
        <v>1.75</v>
      </c>
      <c r="CJ31" s="113">
        <v>1.6749999999999998</v>
      </c>
      <c r="CK31" s="157">
        <v>0</v>
      </c>
      <c r="CL31" s="160">
        <v>2.6714285714285713</v>
      </c>
      <c r="CM31" s="161">
        <v>0</v>
      </c>
      <c r="CN31" s="113">
        <v>4</v>
      </c>
      <c r="CO31" s="113">
        <v>3</v>
      </c>
      <c r="CP31" s="113">
        <v>3.3</v>
      </c>
      <c r="CQ31" s="157">
        <v>0</v>
      </c>
      <c r="CR31" s="162">
        <v>3.3</v>
      </c>
      <c r="CS31" s="163">
        <v>0</v>
      </c>
      <c r="CT31" s="113">
        <v>9</v>
      </c>
      <c r="CU31" s="113">
        <v>13.5</v>
      </c>
      <c r="CV31" s="113">
        <v>12.600000000000001</v>
      </c>
      <c r="CW31" s="157">
        <v>2</v>
      </c>
      <c r="CX31" s="113">
        <v>3</v>
      </c>
      <c r="CY31" s="113">
        <v>6</v>
      </c>
      <c r="CZ31" s="113">
        <v>5.4</v>
      </c>
      <c r="DA31" s="157">
        <v>0</v>
      </c>
      <c r="DB31" s="113">
        <v>5</v>
      </c>
      <c r="DC31" s="113">
        <v>0.75</v>
      </c>
      <c r="DD31" s="113">
        <v>1.6</v>
      </c>
      <c r="DE31" s="157">
        <v>0</v>
      </c>
      <c r="DF31" s="162">
        <v>6.5333333333333341</v>
      </c>
      <c r="DG31" s="164">
        <v>2</v>
      </c>
      <c r="DH31" s="165">
        <v>6.0495833333333335</v>
      </c>
      <c r="DI31" s="166">
        <v>9</v>
      </c>
    </row>
    <row r="34" spans="19:111" ht="17.399999999999999">
      <c r="CY34" s="71"/>
    </row>
    <row r="36" spans="19:111" ht="17.399999999999999">
      <c r="S36" s="71" t="s">
        <v>51</v>
      </c>
    </row>
    <row r="37" spans="19:111" ht="17.399999999999999">
      <c r="DD37" s="134"/>
      <c r="DE37" s="134"/>
      <c r="DF37" s="134"/>
      <c r="DG37" s="134"/>
    </row>
    <row r="38" spans="19:111" ht="17.399999999999999">
      <c r="BT38" s="71" t="s">
        <v>77</v>
      </c>
      <c r="CZ38" s="71" t="s">
        <v>78</v>
      </c>
      <c r="DD38" s="134"/>
      <c r="DE38" s="134"/>
      <c r="DF38" s="134"/>
      <c r="DG38" s="134"/>
    </row>
    <row r="39" spans="19:111" ht="17.399999999999999">
      <c r="DD39" s="134"/>
      <c r="DE39" s="134"/>
      <c r="DF39" s="134"/>
      <c r="DG39" s="134"/>
    </row>
    <row r="65" spans="66:94" ht="17.399999999999999">
      <c r="BN65" s="174" t="s">
        <v>79</v>
      </c>
      <c r="CP65" s="71" t="s">
        <v>80</v>
      </c>
    </row>
  </sheetData>
  <mergeCells count="127">
    <mergeCell ref="BP16:CA16"/>
    <mergeCell ref="CD16:CK16"/>
    <mergeCell ref="CN16:CQ16"/>
    <mergeCell ref="CT16:DE16"/>
    <mergeCell ref="CH14:CK14"/>
    <mergeCell ref="CN14:CQ14"/>
    <mergeCell ref="CT14:CW14"/>
    <mergeCell ref="CX14:DA14"/>
    <mergeCell ref="DB14:DE14"/>
    <mergeCell ref="BF15:BM15"/>
    <mergeCell ref="BP15:CA15"/>
    <mergeCell ref="CD15:CK15"/>
    <mergeCell ref="CN15:CQ15"/>
    <mergeCell ref="CT15:DE15"/>
    <mergeCell ref="CN13:CQ13"/>
    <mergeCell ref="CT13:CW13"/>
    <mergeCell ref="CX13:DA13"/>
    <mergeCell ref="DB13:DE13"/>
    <mergeCell ref="BF14:BI14"/>
    <mergeCell ref="BJ14:BM14"/>
    <mergeCell ref="BP14:BS14"/>
    <mergeCell ref="BT14:BW14"/>
    <mergeCell ref="BX14:CA14"/>
    <mergeCell ref="CD14:CG14"/>
    <mergeCell ref="DG12:DG17"/>
    <mergeCell ref="DH12:DH17"/>
    <mergeCell ref="DI12:DI17"/>
    <mergeCell ref="BF13:BI13"/>
    <mergeCell ref="BJ13:BM13"/>
    <mergeCell ref="BP13:BS13"/>
    <mergeCell ref="BT13:BW13"/>
    <mergeCell ref="BX13:CA13"/>
    <mergeCell ref="CD13:CG13"/>
    <mergeCell ref="CH13:CK13"/>
    <mergeCell ref="CR12:CR17"/>
    <mergeCell ref="CS12:CS17"/>
    <mergeCell ref="CT12:CW12"/>
    <mergeCell ref="CX12:DA12"/>
    <mergeCell ref="DB12:DE12"/>
    <mergeCell ref="DF12:DF17"/>
    <mergeCell ref="CD11:CM11"/>
    <mergeCell ref="CN11:CS11"/>
    <mergeCell ref="CT11:DG11"/>
    <mergeCell ref="BF12:BI12"/>
    <mergeCell ref="BJ12:BM12"/>
    <mergeCell ref="BN12:BN17"/>
    <mergeCell ref="BO12:BO17"/>
    <mergeCell ref="BP12:BS12"/>
    <mergeCell ref="BT12:BW12"/>
    <mergeCell ref="BX12:CA12"/>
    <mergeCell ref="BF7:CM7"/>
    <mergeCell ref="BF10:CM10"/>
    <mergeCell ref="BF11:BM11"/>
    <mergeCell ref="BN11:BO11"/>
    <mergeCell ref="BP11:CC11"/>
    <mergeCell ref="CB12:CB17"/>
    <mergeCell ref="CC12:CC17"/>
    <mergeCell ref="CD12:CG12"/>
    <mergeCell ref="CH12:CK12"/>
    <mergeCell ref="CL12:CL17"/>
    <mergeCell ref="CM12:CM17"/>
    <mergeCell ref="CN12:CQ12"/>
    <mergeCell ref="BE10:BE12"/>
    <mergeCell ref="BF16:BM16"/>
    <mergeCell ref="C15:J15"/>
    <mergeCell ref="M15:T15"/>
    <mergeCell ref="W15:AD15"/>
    <mergeCell ref="AG15:AN15"/>
    <mergeCell ref="AQ15:AX15"/>
    <mergeCell ref="C16:J16"/>
    <mergeCell ref="M16:T16"/>
    <mergeCell ref="W16:AD16"/>
    <mergeCell ref="AG16:AN16"/>
    <mergeCell ref="AQ16:AX16"/>
    <mergeCell ref="C14:F14"/>
    <mergeCell ref="G14:J14"/>
    <mergeCell ref="M14:P14"/>
    <mergeCell ref="Q14:T14"/>
    <mergeCell ref="W14:Z14"/>
    <mergeCell ref="AA14:AD14"/>
    <mergeCell ref="AZ12:AZ17"/>
    <mergeCell ref="C13:F13"/>
    <mergeCell ref="G13:J13"/>
    <mergeCell ref="M13:P13"/>
    <mergeCell ref="Q13:T13"/>
    <mergeCell ref="W13:Z13"/>
    <mergeCell ref="AA13:AD13"/>
    <mergeCell ref="AG13:AJ13"/>
    <mergeCell ref="AK13:AN13"/>
    <mergeCell ref="AQ13:AT13"/>
    <mergeCell ref="AK12:AN12"/>
    <mergeCell ref="AO12:AO17"/>
    <mergeCell ref="AP12:AP17"/>
    <mergeCell ref="AQ12:AT12"/>
    <mergeCell ref="AU12:AX12"/>
    <mergeCell ref="AY12:AY17"/>
    <mergeCell ref="AU13:AX13"/>
    <mergeCell ref="AK14:AN14"/>
    <mergeCell ref="AQ14:AT14"/>
    <mergeCell ref="AU14:AX14"/>
    <mergeCell ref="V12:V17"/>
    <mergeCell ref="W12:Z12"/>
    <mergeCell ref="AA12:AD12"/>
    <mergeCell ref="AE12:AE17"/>
    <mergeCell ref="AF12:AF17"/>
    <mergeCell ref="AG12:AJ12"/>
    <mergeCell ref="AG14:AJ14"/>
    <mergeCell ref="AQ11:AZ11"/>
    <mergeCell ref="BA11:BA17"/>
    <mergeCell ref="BB11:BB17"/>
    <mergeCell ref="C12:F12"/>
    <mergeCell ref="G12:J12"/>
    <mergeCell ref="K12:K17"/>
    <mergeCell ref="L12:L17"/>
    <mergeCell ref="M12:P12"/>
    <mergeCell ref="Q12:T12"/>
    <mergeCell ref="U12:U17"/>
    <mergeCell ref="C8:AN8"/>
    <mergeCell ref="AQ8:BL8"/>
    <mergeCell ref="B10:B12"/>
    <mergeCell ref="C10:AP10"/>
    <mergeCell ref="AQ10:BC10"/>
    <mergeCell ref="C11:J11"/>
    <mergeCell ref="K11:L11"/>
    <mergeCell ref="M11:V11"/>
    <mergeCell ref="W11:AF11"/>
    <mergeCell ref="AG11:A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Ons Riahi</dc:creator>
  <cp:lastModifiedBy>Ons Riahi</cp:lastModifiedBy>
  <dcterms:created xsi:type="dcterms:W3CDTF">2026-06-30T06:52:33Z</dcterms:created>
  <dcterms:modified xsi:type="dcterms:W3CDTF">2026-06-30T07:01:00Z</dcterms:modified>
</cp:coreProperties>
</file>